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shk\PycharmProjects\GT_order_processer\data\"/>
    </mc:Choice>
  </mc:AlternateContent>
  <bookViews>
    <workbookView xWindow="0" yWindow="0" windowWidth="16380" windowHeight="8196" tabRatio="500" activeTab="3"/>
  </bookViews>
  <sheets>
    <sheet name="Лист1" sheetId="1" r:id="rId1"/>
    <sheet name="Лист2" sheetId="2" r:id="rId2"/>
    <sheet name="Общий свод" sheetId="3" r:id="rId3"/>
    <sheet name="Потребитель" sheetId="4" r:id="rId4"/>
    <sheet name="Платформа" sheetId="5" r:id="rId5"/>
  </sheets>
  <calcPr calcId="162913" iterateDelta="1E-4"/>
</workbook>
</file>

<file path=xl/calcChain.xml><?xml version="1.0" encoding="utf-8"?>
<calcChain xmlns="http://schemas.openxmlformats.org/spreadsheetml/2006/main">
  <c r="O5" i="3" l="1"/>
  <c r="N5" i="3"/>
  <c r="D5" i="3"/>
  <c r="C5" i="3"/>
  <c r="N29" i="3" l="1"/>
  <c r="O29" i="3"/>
  <c r="C29" i="3"/>
  <c r="D29" i="3"/>
  <c r="C28" i="3"/>
  <c r="D28" i="3"/>
  <c r="C30" i="3"/>
  <c r="D30" i="3"/>
  <c r="O28" i="3"/>
  <c r="N28" i="3"/>
  <c r="C27" i="3"/>
  <c r="D27" i="3"/>
  <c r="N27" i="3"/>
  <c r="O27" i="3"/>
  <c r="D26" i="3"/>
  <c r="C26" i="3"/>
  <c r="N26" i="3"/>
  <c r="O26" i="3"/>
  <c r="N25" i="3"/>
  <c r="O25" i="3"/>
  <c r="C24" i="3"/>
  <c r="D24" i="3"/>
  <c r="C25" i="3"/>
  <c r="D25" i="3"/>
  <c r="N24" i="3"/>
  <c r="O24" i="3"/>
  <c r="N23" i="3"/>
  <c r="O23" i="3"/>
  <c r="C23" i="3"/>
  <c r="D23" i="3"/>
  <c r="C22" i="3"/>
  <c r="D22" i="3"/>
  <c r="N22" i="3"/>
  <c r="O22" i="3"/>
  <c r="C21" i="3"/>
  <c r="D21" i="3"/>
  <c r="N21" i="3"/>
  <c r="O21" i="3"/>
  <c r="N20" i="3"/>
  <c r="O20" i="3"/>
  <c r="C20" i="3"/>
  <c r="D20" i="3"/>
  <c r="N49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O49" i="3"/>
  <c r="D13" i="3" l="1"/>
  <c r="C13" i="3"/>
  <c r="N15" i="3" l="1"/>
  <c r="O15" i="3"/>
  <c r="C15" i="3"/>
  <c r="D15" i="3"/>
  <c r="C10" i="3"/>
  <c r="D10" i="3"/>
  <c r="N14" i="3"/>
  <c r="O14" i="3"/>
  <c r="N16" i="3"/>
  <c r="O16" i="3"/>
  <c r="N17" i="3"/>
  <c r="O17" i="3"/>
  <c r="N18" i="3"/>
  <c r="O18" i="3"/>
  <c r="N19" i="3"/>
  <c r="O1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N44" i="3"/>
  <c r="O44" i="3"/>
  <c r="N45" i="3"/>
  <c r="O45" i="3"/>
  <c r="N46" i="3"/>
  <c r="O46" i="3"/>
  <c r="N47" i="3"/>
  <c r="O47" i="3"/>
  <c r="N48" i="3"/>
  <c r="O48" i="3"/>
  <c r="O4" i="3"/>
  <c r="N4" i="3"/>
  <c r="C6" i="3"/>
  <c r="D6" i="3"/>
  <c r="C7" i="3"/>
  <c r="D7" i="3"/>
  <c r="C8" i="3"/>
  <c r="D8" i="3"/>
  <c r="C9" i="3"/>
  <c r="D9" i="3"/>
  <c r="C11" i="3"/>
  <c r="D11" i="3"/>
  <c r="C12" i="3"/>
  <c r="D12" i="3"/>
  <c r="C14" i="3"/>
  <c r="D14" i="3"/>
  <c r="C16" i="3"/>
  <c r="D16" i="3"/>
  <c r="C17" i="3"/>
  <c r="D17" i="3"/>
  <c r="C18" i="3"/>
  <c r="D18" i="3"/>
  <c r="C19" i="3"/>
  <c r="D19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D4" i="3"/>
  <c r="C4" i="3"/>
  <c r="M9" i="1" l="1"/>
  <c r="N8" i="1"/>
  <c r="M8" i="1"/>
  <c r="N7" i="1"/>
  <c r="M7" i="1"/>
  <c r="N6" i="1"/>
  <c r="M6" i="1"/>
  <c r="N5" i="1"/>
  <c r="M5" i="1"/>
  <c r="N4" i="1"/>
  <c r="M4" i="1"/>
  <c r="N3" i="1"/>
  <c r="M3" i="1"/>
</calcChain>
</file>

<file path=xl/sharedStrings.xml><?xml version="1.0" encoding="utf-8"?>
<sst xmlns="http://schemas.openxmlformats.org/spreadsheetml/2006/main" count="1145" uniqueCount="124">
  <si>
    <t>№ п/п</t>
  </si>
  <si>
    <t>Наименование Потребителя услуг</t>
  </si>
  <si>
    <t>Наименование ГИС (Сервиса)</t>
  </si>
  <si>
    <t>Наименование необходимого Сервиса</t>
  </si>
  <si>
    <t>Цифровой продукт / Дополнительные параметры</t>
  </si>
  <si>
    <t>Параметр доступности</t>
  </si>
  <si>
    <t>Коэф-т переподписки</t>
  </si>
  <si>
    <t>ID Сервиса</t>
  </si>
  <si>
    <t>Контур использования</t>
  </si>
  <si>
    <t>Новая услуга или изменение существующей</t>
  </si>
  <si>
    <t xml:space="preserve"> Технологическая площадка размещения</t>
  </si>
  <si>
    <r>
      <rPr>
        <b/>
        <sz val="12"/>
        <rFont val="Times New Roman"/>
        <family val="1"/>
        <charset val="1"/>
      </rPr>
      <t xml:space="preserve">МТП или МИ  </t>
    </r>
    <r>
      <rPr>
        <b/>
        <vertAlign val="superscript"/>
        <sz val="12"/>
        <rFont val="Times New Roman"/>
        <family val="1"/>
        <charset val="204"/>
      </rPr>
      <t>1</t>
    </r>
  </si>
  <si>
    <t>Необходимые конфигурацонные параметры PaaS</t>
  </si>
  <si>
    <t>Необходимые конфигурацонные параметры IaaS</t>
  </si>
  <si>
    <r>
      <rPr>
        <b/>
        <sz val="12"/>
        <rFont val="Times New Roman"/>
        <family val="1"/>
        <charset val="1"/>
      </rPr>
      <t>vCPU, ядер</t>
    </r>
    <r>
      <rPr>
        <b/>
        <vertAlign val="superscript"/>
        <sz val="12"/>
        <rFont val="Times New Roman"/>
        <family val="1"/>
        <charset val="204"/>
      </rPr>
      <t>2</t>
    </r>
  </si>
  <si>
    <r>
      <rPr>
        <b/>
        <sz val="12"/>
        <rFont val="Times New Roman"/>
        <family val="1"/>
        <charset val="1"/>
      </rPr>
      <t>HDD, Гб.</t>
    </r>
    <r>
      <rPr>
        <b/>
        <vertAlign val="superscript"/>
        <sz val="12"/>
        <rFont val="Times New Roman"/>
        <family val="1"/>
        <charset val="204"/>
      </rPr>
      <t>2</t>
    </r>
  </si>
  <si>
    <r>
      <rPr>
        <b/>
        <sz val="12"/>
        <rFont val="Times New Roman"/>
        <family val="1"/>
        <charset val="1"/>
      </rPr>
      <t>RAM, Гб</t>
    </r>
    <r>
      <rPr>
        <b/>
        <vertAlign val="superscript"/>
        <sz val="12"/>
        <rFont val="Times New Roman"/>
        <family val="1"/>
        <charset val="204"/>
      </rPr>
      <t>2</t>
    </r>
  </si>
  <si>
    <r>
      <rPr>
        <b/>
        <sz val="12"/>
        <rFont val="Times New Roman"/>
        <family val="1"/>
        <charset val="1"/>
      </rPr>
      <t>SSD, Гб</t>
    </r>
    <r>
      <rPr>
        <b/>
        <vertAlign val="superscript"/>
        <sz val="12"/>
        <rFont val="Times New Roman"/>
        <family val="1"/>
        <charset val="204"/>
      </rPr>
      <t>2</t>
    </r>
  </si>
  <si>
    <r>
      <rPr>
        <b/>
        <sz val="12"/>
        <rFont val="Times New Roman"/>
        <family val="1"/>
        <charset val="1"/>
      </rPr>
      <t>HDD Fast, Гб</t>
    </r>
    <r>
      <rPr>
        <b/>
        <vertAlign val="superscript"/>
        <sz val="12"/>
        <rFont val="Times New Roman"/>
        <family val="1"/>
        <charset val="204"/>
      </rPr>
      <t>2</t>
    </r>
  </si>
  <si>
    <r>
      <rPr>
        <b/>
        <sz val="12"/>
        <rFont val="Times New Roman"/>
        <family val="1"/>
        <charset val="1"/>
      </rPr>
      <t>HDD Slow, Гб</t>
    </r>
    <r>
      <rPr>
        <b/>
        <vertAlign val="superscript"/>
        <sz val="12"/>
        <rFont val="Times New Roman"/>
        <family val="1"/>
        <charset val="204"/>
      </rPr>
      <t>2</t>
    </r>
  </si>
  <si>
    <r>
      <rPr>
        <b/>
        <sz val="12"/>
        <rFont val="Times New Roman"/>
        <family val="1"/>
        <charset val="1"/>
      </rPr>
      <t>Тип операционной системы</t>
    </r>
    <r>
      <rPr>
        <b/>
        <vertAlign val="superscript"/>
        <sz val="12"/>
        <rFont val="Times New Roman"/>
        <family val="1"/>
        <charset val="204"/>
      </rPr>
      <t>3</t>
    </r>
    <r>
      <rPr>
        <b/>
        <sz val="12"/>
        <rFont val="Times New Roman"/>
        <family val="1"/>
        <charset val="1"/>
      </rPr>
      <t xml:space="preserve"> </t>
    </r>
  </si>
  <si>
    <t>Количество операционных систем, шт.</t>
  </si>
  <si>
    <t>Сервис IAM (услуга 1.13)</t>
  </si>
  <si>
    <t>Тип 1</t>
  </si>
  <si>
    <t>PROD</t>
  </si>
  <si>
    <t>Заказанная услуга</t>
  </si>
  <si>
    <t>Исполнителя</t>
  </si>
  <si>
    <t>МТП</t>
  </si>
  <si>
    <t>Сервис журналирования (услуга 1.14)</t>
  </si>
  <si>
    <t>Сервис аудита (услуга 1.15)</t>
  </si>
  <si>
    <t>Сервис мониторинга (услуга 1.16)</t>
  </si>
  <si>
    <t>Сервис управления репозиториями дистрибутивов (услуга 1.25)</t>
  </si>
  <si>
    <t>Сервис версионного контроля исходного кода и конфигураций (услуга 1.26)</t>
  </si>
  <si>
    <t>Сервис управление развертыванием ПО (услуга 1.31)</t>
  </si>
  <si>
    <t>Сервис транзакционной СУБД (услуга 1.1)</t>
  </si>
  <si>
    <t>Сервис ширококолоночной СУБД (услуга 1.2)</t>
  </si>
  <si>
    <t>Сервис Key-value СУБД (in-memory) (услуга 1.3)</t>
  </si>
  <si>
    <t>Сервис СУБД полнотекстового индекса (услуга 1.4)</t>
  </si>
  <si>
    <t>Сервис СУБД аналитического хранилища данных (услуга 1.5)</t>
  </si>
  <si>
    <t>Сервис СУБД аналитических витрин хранилища (услуга 1.6)</t>
  </si>
  <si>
    <t>Сервис СУБД хранения неструктурированных данных (услуга 1.7)</t>
  </si>
  <si>
    <t>Сервис объектного хранилища (услуга 1.8)</t>
  </si>
  <si>
    <t>Сервисы интеграционного взаимодействия (услуга 1.9)</t>
  </si>
  <si>
    <t>Сервисы управления очередями сообщений (услуга 1.10)</t>
  </si>
  <si>
    <t>Сервис управления микросервисами (услуга 1.11)</t>
  </si>
  <si>
    <t>Сервис управления процессами (услуга 1.12)</t>
  </si>
  <si>
    <t>Сервис предоставления кворумного ЦОД (услуга 1.17)</t>
  </si>
  <si>
    <t>Сервис «Типовое тиражируемое программное обеспечение витрин данных» («Витрина НСУД»)» (услуга 1.18)</t>
  </si>
  <si>
    <t>Сервис «Шлюз Единой системы идентификации и аутентификации» (услуга 1.19)</t>
  </si>
  <si>
    <t>Сервис управления планированием (услуга 1.20)</t>
  </si>
  <si>
    <t>Сервис управления требованиями (услуга 1.21)</t>
  </si>
  <si>
    <t>Сервис управления релизами (услуга 1.22)</t>
  </si>
  <si>
    <t>Сервис управления дефектами (услуга 1.23)</t>
  </si>
  <si>
    <t>Сервис управления тестированием (услуга 1.24)</t>
  </si>
  <si>
    <t>Сервис анализа качества кода (услуга 1.27)</t>
  </si>
  <si>
    <t>Сервис проектирования API и архитектурного контроля (услуга 1.28)</t>
  </si>
  <si>
    <t>Сервис управления сборкой ПО (услуга 1.29)</t>
  </si>
  <si>
    <t>Сервис управления поставками дистрибутивов (услуга 1.30)</t>
  </si>
  <si>
    <t>Сервис аналитики и мониторинга производственного процесса (услуга 1.32)</t>
  </si>
  <si>
    <t>Наименование услуги</t>
  </si>
  <si>
    <t>Цифровой продукт</t>
  </si>
  <si>
    <t>Необходимые параметры услуги PaaS</t>
  </si>
  <si>
    <t>Необходимые параметры услуги IaaS</t>
  </si>
  <si>
    <t>vCPU, ядер</t>
  </si>
  <si>
    <t>HDD, Гб.</t>
  </si>
  <si>
    <t>RAM, Гб</t>
  </si>
  <si>
    <t>SSD, Гб</t>
  </si>
  <si>
    <t>HDD Fast, Гб</t>
  </si>
  <si>
    <t>HDD Slow, Гб</t>
  </si>
  <si>
    <t>Тип операционной системы</t>
  </si>
  <si>
    <t>Сервис СУБД аналитического хранилища данных (услуга 1.5) с дополнительным параметром «Пакет функционального расширения аналитического хранилища данных» («Пакет функционального расширения АХД»)</t>
  </si>
  <si>
    <t>Потребитель</t>
  </si>
  <si>
    <t>Платформа</t>
  </si>
  <si>
    <t>Совместно производственный процесс для dev/test</t>
  </si>
  <si>
    <t>Для все стендов 1 раз на площадку</t>
  </si>
  <si>
    <t>Только для Dev/Test 1 раз на Площадку</t>
  </si>
  <si>
    <t>На всех стендах для Потребителя и для Платформы</t>
  </si>
  <si>
    <t>Нет</t>
  </si>
  <si>
    <t>Р-хранилище</t>
  </si>
  <si>
    <t>Облачная платформа Сбербанка</t>
  </si>
  <si>
    <t>Квант масштабирования в случае наличия 2.1.2</t>
  </si>
  <si>
    <t>Тип 2</t>
  </si>
  <si>
    <t>Моделирование и исполнение бизнес-сценариев Designer Platform V Flow</t>
  </si>
  <si>
    <t>Моделирование и исполнение бизнес-сценариев Engine Platform V Flow</t>
  </si>
  <si>
    <t>Моделирование и исполнение бизнес-сценариев Tasklist Platform V Flow</t>
  </si>
  <si>
    <t>Управление справочной информацией Platform V Dictionaries</t>
  </si>
  <si>
    <t>Электронная подпись Platform V Secret Management</t>
  </si>
  <si>
    <t>Генерация уникальных ID Platform V Generators</t>
  </si>
  <si>
    <t>Пакетная обработка задач Platform V Batch</t>
  </si>
  <si>
    <t>Планировщик заданий Platform V Batch</t>
  </si>
  <si>
    <t>Автонумерация Platform V Generators</t>
  </si>
  <si>
    <t>Центр уведомлений Platform V Notification Center</t>
  </si>
  <si>
    <t>Интеграция со СМЭВ Platform V SMEV Gateway</t>
  </si>
  <si>
    <t>Комментарий</t>
  </si>
  <si>
    <t>Формирование печатных форм Platform V Print</t>
  </si>
  <si>
    <t>Сервис «Типовое тиражируемое программное обеспечение витрин данных» («Витрина НСУД») (услуга 1.18) с включением сервиса оркестрации и агента ПОДД</t>
  </si>
  <si>
    <t>Сервис транзакционной СУБД (услуга 1.1.1)</t>
  </si>
  <si>
    <t>Сервис Key-value СУБД (in-memory) (услуга 1.1.3)</t>
  </si>
  <si>
    <t>Сервис СУБД полнотекстового индекса (услуга 1.1.4)</t>
  </si>
  <si>
    <t>Сервис СУБД аналитического хранилища данных (услуга 1.1.5)</t>
  </si>
  <si>
    <t>Сервис СУБД аналитических витрин хранилища (услуга 1.1.6)</t>
  </si>
  <si>
    <t>Сервис СУБД хранения неструктурированных данных (услуга 1.1.7)</t>
  </si>
  <si>
    <t>Сервисы интеграционного взаимодействия (услуга 1.1.9)</t>
  </si>
  <si>
    <t>Сервисы управления очередями сообщений (услуга 1.1.10)</t>
  </si>
  <si>
    <t>Сервис управления микросервисами (услуга 1.1.11)</t>
  </si>
  <si>
    <t>Сервис управления процессами (услуга 1.1.12)</t>
  </si>
  <si>
    <t>Сервис IAM (услуга 1.1.13)</t>
  </si>
  <si>
    <t>Сервис журналирования (услуга 1.1.14)</t>
  </si>
  <si>
    <t>Сервис аудита (услуга 1.1.15)</t>
  </si>
  <si>
    <t>Сервис мониторинга (услуга 1.1.16)</t>
  </si>
  <si>
    <t>Сервиса «Агент СМЭВ4» (услуга 1.1.17)</t>
  </si>
  <si>
    <t>Сервис управления планированием (услуга 1.1.20)</t>
  </si>
  <si>
    <t>Сервис управления требованиями (услуга 1.1.21)</t>
  </si>
  <si>
    <t>Сервис управления релизами (услуга 1.1.22)</t>
  </si>
  <si>
    <t>Сервис управления дефектами (услуга 1.1.23)</t>
  </si>
  <si>
    <t>Сервис управления тестированием (услуга 1.1.24)</t>
  </si>
  <si>
    <t>Сервис управления репозиториями дистрибутивов (услуга 1.1.25)</t>
  </si>
  <si>
    <t>Сервис версионного контроля исходного кода и конфигураций (услуга 1.1.26)</t>
  </si>
  <si>
    <t>Сервис анализа качества кода (услуга 1.1.27)</t>
  </si>
  <si>
    <t>Сервис проектирования API и архитектурного контроля (услуга 1.1.28)</t>
  </si>
  <si>
    <t>Сервис управления сборкой ПО (услуга 1.1.29)</t>
  </si>
  <si>
    <t>Сервис управления поставками дистрибутивов (услуга 1.1.30)</t>
  </si>
  <si>
    <t>Сервис управление развертыванием ПО (услуга 1.1.31)</t>
  </si>
  <si>
    <t>Сервис аналитики и мониторинга производственного процесса (услуга 1.1.32)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</si>
</sst>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\-??_-;_-@_-"/>
  </numFmts>
  <fonts count="9" x14ac:knownFonts="1">
    <font>
      <sz val="11"/>
      <color rgb="FF000000"/>
      <name val="Calibri"/>
      <family val="2"/>
      <charset val="204"/>
    </font>
    <font>
      <b/>
      <sz val="12"/>
      <name val="Times New Roman"/>
      <family val="1"/>
      <charset val="1"/>
    </font>
    <font>
      <b/>
      <vertAlign val="superscript"/>
      <sz val="12"/>
      <name val="Times New Roman"/>
      <family val="1"/>
      <charset val="204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2"/>
      <charset val="204"/>
    </font>
    <font>
      <sz val="10"/>
      <color rgb="FF000000"/>
      <name val="Arial"/>
      <family val="2"/>
      <charset val="204"/>
    </font>
    <font>
      <sz val="12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2F2F2"/>
        <bgColor rgb="FFF1F7ED"/>
      </patternFill>
    </fill>
    <fill>
      <patternFill patternType="solid">
        <fgColor theme="4" tint="0.79998168889431442"/>
        <bgColor rgb="FFF1F7E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1F7ED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0" fontId="7" fillId="0" borderId="0"/>
    <xf numFmtId="0" fontId="5" fillId="0" borderId="0"/>
    <xf numFmtId="0" fontId="6" fillId="0" borderId="0"/>
    <xf numFmtId="0" fontId="5" fillId="0" borderId="0" applyBorder="0" applyProtection="0"/>
    <xf numFmtId="0" fontId="7" fillId="0" borderId="0"/>
    <xf numFmtId="0" fontId="5" fillId="0" borderId="0"/>
    <xf numFmtId="0" fontId="6" fillId="0" borderId="0"/>
    <xf numFmtId="164" fontId="6" fillId="0" borderId="0" applyBorder="0" applyProtection="0"/>
  </cellStyleXfs>
  <cellXfs count="4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 shrinkToFit="1"/>
    </xf>
    <xf numFmtId="0" fontId="4" fillId="0" borderId="4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 shrinkToFit="1"/>
    </xf>
    <xf numFmtId="0" fontId="4" fillId="0" borderId="8" xfId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" xfId="0" applyBorder="1"/>
    <xf numFmtId="0" fontId="0" fillId="0" borderId="4" xfId="0" applyBorder="1"/>
    <xf numFmtId="0" fontId="0" fillId="0" borderId="4" xfId="0" applyFont="1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Font="1" applyBorder="1" applyAlignment="1">
      <alignment wrapText="1"/>
    </xf>
    <xf numFmtId="3" fontId="3" fillId="2" borderId="10" xfId="5" applyNumberFormat="1" applyFont="1" applyFill="1" applyBorder="1" applyAlignment="1">
      <alignment horizontal="center" vertical="center" wrapText="1"/>
    </xf>
    <xf numFmtId="3" fontId="3" fillId="2" borderId="10" xfId="5" applyNumberFormat="1" applyFont="1" applyFill="1" applyBorder="1" applyAlignment="1">
      <alignment horizontal="center" vertical="center" wrapText="1"/>
    </xf>
    <xf numFmtId="3" fontId="3" fillId="2" borderId="10" xfId="5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 applyProtection="1">
      <alignment horizontal="center" vertical="center" textRotation="90" wrapText="1"/>
      <protection locked="0"/>
    </xf>
    <xf numFmtId="0" fontId="1" fillId="6" borderId="4" xfId="0" applyFont="1" applyFill="1" applyBorder="1" applyAlignment="1" applyProtection="1">
      <alignment horizontal="center" vertical="center" textRotation="90" wrapText="1"/>
      <protection locked="0"/>
    </xf>
    <xf numFmtId="0" fontId="0" fillId="0" borderId="0" xfId="0" applyFont="1" applyBorder="1" applyAlignment="1">
      <alignment wrapText="1"/>
    </xf>
    <xf numFmtId="0" fontId="8" fillId="0" borderId="0" xfId="0" applyFont="1"/>
    <xf numFmtId="0" fontId="1" fillId="3" borderId="12" xfId="0" applyFont="1" applyFill="1" applyBorder="1" applyAlignment="1" applyProtection="1">
      <alignment vertical="center" wrapText="1"/>
      <protection locked="0"/>
    </xf>
    <xf numFmtId="0" fontId="1" fillId="6" borderId="14" xfId="0" applyFont="1" applyFill="1" applyBorder="1" applyAlignment="1" applyProtection="1">
      <alignment horizontal="center" vertical="center" textRotation="90" wrapText="1"/>
      <protection locked="0"/>
    </xf>
    <xf numFmtId="0" fontId="1" fillId="3" borderId="4" xfId="0" applyFont="1" applyFill="1" applyBorder="1" applyAlignment="1" applyProtection="1">
      <alignment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textRotation="90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4" borderId="4" xfId="0" applyFont="1" applyFill="1" applyBorder="1" applyAlignment="1" applyProtection="1">
      <alignment horizontal="center" vertical="center" wrapText="1"/>
      <protection locked="0"/>
    </xf>
    <xf numFmtId="0" fontId="0" fillId="5" borderId="11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  <protection locked="0"/>
    </xf>
    <xf numFmtId="0" fontId="1" fillId="3" borderId="12" xfId="0" applyFont="1" applyFill="1" applyBorder="1" applyAlignment="1" applyProtection="1">
      <alignment horizontal="center" vertical="center" wrapText="1"/>
      <protection locked="0"/>
    </xf>
    <xf numFmtId="0" fontId="1" fillId="3" borderId="13" xfId="0" applyFont="1" applyFill="1" applyBorder="1" applyAlignment="1" applyProtection="1">
      <alignment horizontal="center" vertical="center" wrapText="1"/>
      <protection locked="0"/>
    </xf>
    <xf numFmtId="0" fontId="1" fillId="6" borderId="4" xfId="0" applyFont="1" applyFill="1" applyBorder="1" applyAlignment="1" applyProtection="1">
      <alignment horizontal="center" vertical="center" wrapText="1"/>
      <protection locked="0"/>
    </xf>
  </cellXfs>
  <cellStyles count="11">
    <cellStyle name="Обычный" xfId="0" builtinId="0"/>
    <cellStyle name="Обычный 11" xfId="1"/>
    <cellStyle name="Обычный 2" xfId="2"/>
    <cellStyle name="Обычный 2 2" xfId="3"/>
    <cellStyle name="Обычный 2 2 4" xfId="4"/>
    <cellStyle name="Обычный 2 3" xfId="5"/>
    <cellStyle name="Обычный 2 5" xfId="6"/>
    <cellStyle name="Обычный 6" xfId="7"/>
    <cellStyle name="Обычный 7" xfId="8"/>
    <cellStyle name="Обычный 8" xfId="9"/>
    <cellStyle name="Финансовый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zoomScale="63" zoomScaleNormal="63" workbookViewId="0">
      <selection sqref="A1:A2"/>
    </sheetView>
  </sheetViews>
  <sheetFormatPr defaultColWidth="8.5546875" defaultRowHeight="14.4" x14ac:dyDescent="0.3"/>
  <cols>
    <col min="2" max="2" width="38.33203125" customWidth="1"/>
    <col min="3" max="3" width="33.44140625" customWidth="1"/>
    <col min="4" max="4" width="42.33203125" customWidth="1"/>
  </cols>
  <sheetData>
    <row r="1" spans="1:21" ht="15.75" customHeight="1" x14ac:dyDescent="0.3">
      <c r="A1" s="37" t="s">
        <v>0</v>
      </c>
      <c r="B1" s="38" t="s">
        <v>1</v>
      </c>
      <c r="C1" s="38" t="s">
        <v>2</v>
      </c>
      <c r="D1" s="38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8" t="s">
        <v>12</v>
      </c>
      <c r="N1" s="38"/>
      <c r="O1" s="40" t="s">
        <v>13</v>
      </c>
      <c r="P1" s="40"/>
      <c r="Q1" s="40"/>
      <c r="R1" s="40"/>
      <c r="S1" s="40"/>
      <c r="T1" s="40"/>
      <c r="U1" s="40"/>
    </row>
    <row r="2" spans="1:21" ht="109.2" x14ac:dyDescent="0.3">
      <c r="A2" s="37"/>
      <c r="B2" s="38"/>
      <c r="C2" s="38"/>
      <c r="D2" s="38"/>
      <c r="E2" s="39"/>
      <c r="F2" s="39"/>
      <c r="G2" s="39"/>
      <c r="H2" s="39"/>
      <c r="I2" s="39"/>
      <c r="J2" s="39"/>
      <c r="K2" s="39"/>
      <c r="L2" s="39"/>
      <c r="M2" s="1" t="s">
        <v>14</v>
      </c>
      <c r="N2" s="1" t="s">
        <v>15</v>
      </c>
      <c r="O2" s="1" t="s">
        <v>14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2" t="s">
        <v>21</v>
      </c>
    </row>
    <row r="3" spans="1:21" ht="46.8" x14ac:dyDescent="0.3">
      <c r="A3" s="3"/>
      <c r="B3" s="4"/>
      <c r="C3" s="5"/>
      <c r="D3" s="4" t="s">
        <v>22</v>
      </c>
      <c r="E3" s="4" t="s">
        <v>23</v>
      </c>
      <c r="F3" s="4">
        <v>99.5</v>
      </c>
      <c r="G3" s="4">
        <v>3</v>
      </c>
      <c r="H3" s="4"/>
      <c r="I3" s="4" t="s">
        <v>24</v>
      </c>
      <c r="J3" s="6" t="s">
        <v>25</v>
      </c>
      <c r="K3" s="4" t="s">
        <v>26</v>
      </c>
      <c r="L3" s="4" t="s">
        <v>27</v>
      </c>
      <c r="M3" s="7">
        <f t="shared" ref="M3:M9" si="0">O3</f>
        <v>2</v>
      </c>
      <c r="N3" s="4">
        <f t="shared" ref="N3:N8" si="1">Q3+R3+S3</f>
        <v>150</v>
      </c>
      <c r="O3" s="7">
        <v>2</v>
      </c>
      <c r="P3" s="4">
        <v>4</v>
      </c>
      <c r="Q3" s="7">
        <v>0</v>
      </c>
      <c r="R3" s="7">
        <v>0</v>
      </c>
      <c r="S3" s="4">
        <v>150</v>
      </c>
      <c r="T3" s="4">
        <v>2</v>
      </c>
      <c r="U3" s="8">
        <v>1</v>
      </c>
    </row>
    <row r="4" spans="1:21" ht="46.8" x14ac:dyDescent="0.3">
      <c r="A4" s="3"/>
      <c r="B4" s="4"/>
      <c r="C4" s="5"/>
      <c r="D4" s="4" t="s">
        <v>28</v>
      </c>
      <c r="E4" s="4" t="s">
        <v>23</v>
      </c>
      <c r="F4" s="4">
        <v>99.5</v>
      </c>
      <c r="G4" s="4">
        <v>3</v>
      </c>
      <c r="H4" s="4"/>
      <c r="I4" s="4" t="s">
        <v>24</v>
      </c>
      <c r="J4" s="6" t="s">
        <v>25</v>
      </c>
      <c r="K4" s="4" t="s">
        <v>26</v>
      </c>
      <c r="L4" s="4" t="s">
        <v>27</v>
      </c>
      <c r="M4" s="7">
        <f t="shared" si="0"/>
        <v>2</v>
      </c>
      <c r="N4" s="4">
        <f t="shared" si="1"/>
        <v>150</v>
      </c>
      <c r="O4" s="7">
        <v>2</v>
      </c>
      <c r="P4" s="4">
        <v>4</v>
      </c>
      <c r="Q4" s="7">
        <v>0</v>
      </c>
      <c r="R4" s="7">
        <v>0</v>
      </c>
      <c r="S4" s="4">
        <v>150</v>
      </c>
      <c r="T4" s="4">
        <v>2</v>
      </c>
      <c r="U4" s="8">
        <v>1</v>
      </c>
    </row>
    <row r="5" spans="1:21" ht="46.8" x14ac:dyDescent="0.3">
      <c r="A5" s="3"/>
      <c r="B5" s="4"/>
      <c r="C5" s="5"/>
      <c r="D5" s="4" t="s">
        <v>29</v>
      </c>
      <c r="E5" s="4" t="s">
        <v>23</v>
      </c>
      <c r="F5" s="4">
        <v>99.5</v>
      </c>
      <c r="G5" s="4">
        <v>3</v>
      </c>
      <c r="H5" s="4"/>
      <c r="I5" s="4" t="s">
        <v>24</v>
      </c>
      <c r="J5" s="6" t="s">
        <v>25</v>
      </c>
      <c r="K5" s="4" t="s">
        <v>26</v>
      </c>
      <c r="L5" s="4" t="s">
        <v>27</v>
      </c>
      <c r="M5" s="7">
        <f t="shared" si="0"/>
        <v>2</v>
      </c>
      <c r="N5" s="4">
        <f t="shared" si="1"/>
        <v>150</v>
      </c>
      <c r="O5" s="7">
        <v>2</v>
      </c>
      <c r="P5" s="4">
        <v>4</v>
      </c>
      <c r="Q5" s="7">
        <v>0</v>
      </c>
      <c r="R5" s="7">
        <v>0</v>
      </c>
      <c r="S5" s="4">
        <v>150</v>
      </c>
      <c r="T5" s="4">
        <v>2</v>
      </c>
      <c r="U5" s="8">
        <v>1</v>
      </c>
    </row>
    <row r="6" spans="1:21" ht="46.8" x14ac:dyDescent="0.3">
      <c r="A6" s="3"/>
      <c r="B6" s="4"/>
      <c r="C6" s="5"/>
      <c r="D6" s="4" t="s">
        <v>30</v>
      </c>
      <c r="E6" s="4" t="s">
        <v>23</v>
      </c>
      <c r="F6" s="4">
        <v>99.5</v>
      </c>
      <c r="G6" s="4">
        <v>3</v>
      </c>
      <c r="H6" s="4"/>
      <c r="I6" s="4" t="s">
        <v>24</v>
      </c>
      <c r="J6" s="6" t="s">
        <v>25</v>
      </c>
      <c r="K6" s="4" t="s">
        <v>26</v>
      </c>
      <c r="L6" s="4" t="s">
        <v>27</v>
      </c>
      <c r="M6" s="7">
        <f t="shared" si="0"/>
        <v>2</v>
      </c>
      <c r="N6" s="4">
        <f t="shared" si="1"/>
        <v>150</v>
      </c>
      <c r="O6" s="7">
        <v>2</v>
      </c>
      <c r="P6" s="4">
        <v>4</v>
      </c>
      <c r="Q6" s="7">
        <v>0</v>
      </c>
      <c r="R6" s="7">
        <v>0</v>
      </c>
      <c r="S6" s="4">
        <v>150</v>
      </c>
      <c r="T6" s="4">
        <v>2</v>
      </c>
      <c r="U6" s="8">
        <v>1</v>
      </c>
    </row>
    <row r="7" spans="1:21" ht="46.8" x14ac:dyDescent="0.3">
      <c r="A7" s="3"/>
      <c r="B7" s="4"/>
      <c r="C7" s="4"/>
      <c r="D7" s="4" t="s">
        <v>31</v>
      </c>
      <c r="E7" s="4" t="s">
        <v>23</v>
      </c>
      <c r="F7" s="4">
        <v>99.5</v>
      </c>
      <c r="G7" s="4">
        <v>3</v>
      </c>
      <c r="H7" s="4"/>
      <c r="I7" s="4" t="s">
        <v>24</v>
      </c>
      <c r="J7" s="4" t="s">
        <v>25</v>
      </c>
      <c r="K7" s="4" t="s">
        <v>26</v>
      </c>
      <c r="L7" s="4" t="s">
        <v>27</v>
      </c>
      <c r="M7" s="9">
        <f t="shared" si="0"/>
        <v>0</v>
      </c>
      <c r="N7" s="4">
        <f t="shared" si="1"/>
        <v>50</v>
      </c>
      <c r="O7" s="10">
        <v>0</v>
      </c>
      <c r="P7" s="10">
        <v>0</v>
      </c>
      <c r="Q7" s="10">
        <v>0</v>
      </c>
      <c r="R7" s="10">
        <v>0</v>
      </c>
      <c r="S7" s="10">
        <v>50</v>
      </c>
      <c r="T7" s="4">
        <v>2</v>
      </c>
      <c r="U7" s="11">
        <v>0</v>
      </c>
    </row>
    <row r="8" spans="1:21" ht="46.8" x14ac:dyDescent="0.3">
      <c r="A8" s="3"/>
      <c r="B8" s="4"/>
      <c r="C8" s="4"/>
      <c r="D8" s="4" t="s">
        <v>32</v>
      </c>
      <c r="E8" s="4" t="s">
        <v>23</v>
      </c>
      <c r="F8" s="4">
        <v>99.5</v>
      </c>
      <c r="G8" s="4">
        <v>3</v>
      </c>
      <c r="H8" s="4"/>
      <c r="I8" s="4" t="s">
        <v>24</v>
      </c>
      <c r="J8" s="4" t="s">
        <v>25</v>
      </c>
      <c r="K8" s="4" t="s">
        <v>26</v>
      </c>
      <c r="L8" s="4" t="s">
        <v>27</v>
      </c>
      <c r="M8" s="9">
        <f t="shared" si="0"/>
        <v>0</v>
      </c>
      <c r="N8" s="4">
        <f t="shared" si="1"/>
        <v>50</v>
      </c>
      <c r="O8" s="10">
        <v>0</v>
      </c>
      <c r="P8" s="10">
        <v>0</v>
      </c>
      <c r="Q8" s="10">
        <v>0</v>
      </c>
      <c r="R8" s="10">
        <v>0</v>
      </c>
      <c r="S8" s="10">
        <v>50</v>
      </c>
      <c r="T8" s="4">
        <v>2</v>
      </c>
      <c r="U8" s="11">
        <v>0</v>
      </c>
    </row>
    <row r="9" spans="1:21" ht="46.8" x14ac:dyDescent="0.3">
      <c r="A9" s="12"/>
      <c r="B9" s="13"/>
      <c r="C9" s="14"/>
      <c r="D9" s="13" t="s">
        <v>33</v>
      </c>
      <c r="E9" s="13" t="s">
        <v>23</v>
      </c>
      <c r="F9" s="13">
        <v>99.5</v>
      </c>
      <c r="G9" s="13">
        <v>3</v>
      </c>
      <c r="H9" s="13"/>
      <c r="I9" s="13" t="s">
        <v>24</v>
      </c>
      <c r="J9" s="15" t="s">
        <v>25</v>
      </c>
      <c r="K9" s="13" t="s">
        <v>26</v>
      </c>
      <c r="L9" s="13" t="s">
        <v>27</v>
      </c>
      <c r="M9" s="16">
        <f t="shared" si="0"/>
        <v>8</v>
      </c>
      <c r="N9" s="13">
        <v>550</v>
      </c>
      <c r="O9" s="16">
        <v>8</v>
      </c>
      <c r="P9" s="13">
        <v>16</v>
      </c>
      <c r="Q9" s="16">
        <v>0</v>
      </c>
      <c r="R9" s="16">
        <v>400</v>
      </c>
      <c r="S9" s="13">
        <v>150</v>
      </c>
      <c r="T9" s="13">
        <v>2</v>
      </c>
      <c r="U9" s="17">
        <v>2</v>
      </c>
    </row>
  </sheetData>
  <mergeCells count="14">
    <mergeCell ref="K1:K2"/>
    <mergeCell ref="L1:L2"/>
    <mergeCell ref="M1:N1"/>
    <mergeCell ref="O1:U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zoomScale="72" zoomScaleNormal="64" workbookViewId="0">
      <selection activeCell="D3" sqref="D3:D34"/>
    </sheetView>
  </sheetViews>
  <sheetFormatPr defaultColWidth="8.5546875" defaultRowHeight="14.4" x14ac:dyDescent="0.3"/>
  <cols>
    <col min="1" max="1" width="7" customWidth="1"/>
    <col min="4" max="4" width="63.109375" style="18" customWidth="1"/>
  </cols>
  <sheetData>
    <row r="1" spans="1:21" ht="15.75" customHeight="1" x14ac:dyDescent="0.3">
      <c r="A1" s="37" t="s">
        <v>0</v>
      </c>
      <c r="B1" s="38" t="s">
        <v>1</v>
      </c>
      <c r="C1" s="38" t="s">
        <v>2</v>
      </c>
      <c r="D1" s="38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8" t="s">
        <v>12</v>
      </c>
      <c r="N1" s="38"/>
      <c r="O1" s="40" t="s">
        <v>13</v>
      </c>
      <c r="P1" s="40"/>
      <c r="Q1" s="40"/>
      <c r="R1" s="40"/>
      <c r="S1" s="40"/>
      <c r="T1" s="40"/>
      <c r="U1" s="40"/>
    </row>
    <row r="2" spans="1:21" ht="109.2" x14ac:dyDescent="0.3">
      <c r="A2" s="37"/>
      <c r="B2" s="38"/>
      <c r="C2" s="38"/>
      <c r="D2" s="38"/>
      <c r="E2" s="39"/>
      <c r="F2" s="39"/>
      <c r="G2" s="39"/>
      <c r="H2" s="39"/>
      <c r="I2" s="39"/>
      <c r="J2" s="39"/>
      <c r="K2" s="39"/>
      <c r="L2" s="39"/>
      <c r="M2" s="1" t="s">
        <v>14</v>
      </c>
      <c r="N2" s="1" t="s">
        <v>15</v>
      </c>
      <c r="O2" s="1" t="s">
        <v>14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2" t="s">
        <v>21</v>
      </c>
    </row>
    <row r="3" spans="1:21" ht="15.6" x14ac:dyDescent="0.3">
      <c r="A3" s="19"/>
      <c r="B3" s="20"/>
      <c r="C3" s="20"/>
      <c r="D3" s="21" t="s">
        <v>34</v>
      </c>
      <c r="E3" s="20"/>
      <c r="F3" s="20"/>
      <c r="G3" s="20"/>
      <c r="H3" s="20"/>
      <c r="I3" s="20"/>
      <c r="J3" s="20"/>
      <c r="K3" s="20"/>
      <c r="L3" s="20"/>
      <c r="M3" s="20">
        <v>10</v>
      </c>
      <c r="N3" s="20">
        <v>350</v>
      </c>
      <c r="O3" s="20">
        <v>10</v>
      </c>
      <c r="P3" s="20">
        <v>20</v>
      </c>
      <c r="Q3" s="20">
        <v>200</v>
      </c>
      <c r="R3" s="20">
        <v>0</v>
      </c>
      <c r="S3" s="20">
        <v>150</v>
      </c>
      <c r="T3" s="20">
        <v>2</v>
      </c>
      <c r="U3" s="27">
        <v>3</v>
      </c>
    </row>
    <row r="4" spans="1:21" ht="15.6" x14ac:dyDescent="0.3">
      <c r="A4" s="19"/>
      <c r="B4" s="20"/>
      <c r="C4" s="20"/>
      <c r="D4" s="21" t="s">
        <v>35</v>
      </c>
      <c r="E4" s="20"/>
      <c r="F4" s="20"/>
      <c r="G4" s="20"/>
      <c r="H4" s="20"/>
      <c r="I4" s="20"/>
      <c r="J4" s="20"/>
      <c r="K4" s="20"/>
      <c r="L4" s="20"/>
      <c r="M4" s="20">
        <v>36</v>
      </c>
      <c r="N4" s="20">
        <v>1900</v>
      </c>
      <c r="O4" s="20">
        <v>36</v>
      </c>
      <c r="P4" s="20">
        <v>104</v>
      </c>
      <c r="Q4" s="20">
        <v>0</v>
      </c>
      <c r="R4" s="20">
        <v>1550</v>
      </c>
      <c r="S4" s="20">
        <v>350</v>
      </c>
      <c r="T4" s="20">
        <v>2</v>
      </c>
      <c r="U4" s="27">
        <v>7</v>
      </c>
    </row>
    <row r="5" spans="1:21" ht="15.6" x14ac:dyDescent="0.3">
      <c r="A5" s="19"/>
      <c r="B5" s="20"/>
      <c r="C5" s="20"/>
      <c r="D5" s="21" t="s">
        <v>36</v>
      </c>
      <c r="E5" s="20"/>
      <c r="F5" s="20"/>
      <c r="G5" s="20"/>
      <c r="H5" s="20"/>
      <c r="I5" s="20"/>
      <c r="J5" s="20"/>
      <c r="K5" s="20"/>
      <c r="L5" s="20"/>
      <c r="M5" s="20">
        <v>12</v>
      </c>
      <c r="N5" s="20">
        <v>300</v>
      </c>
      <c r="O5" s="20">
        <v>12</v>
      </c>
      <c r="P5" s="20">
        <v>24</v>
      </c>
      <c r="Q5" s="20">
        <v>150</v>
      </c>
      <c r="R5" s="20">
        <v>0</v>
      </c>
      <c r="S5" s="20">
        <v>150</v>
      </c>
      <c r="T5" s="20">
        <v>2</v>
      </c>
      <c r="U5" s="27">
        <v>3</v>
      </c>
    </row>
    <row r="6" spans="1:21" ht="15.6" x14ac:dyDescent="0.3">
      <c r="A6" s="19"/>
      <c r="B6" s="20"/>
      <c r="C6" s="20"/>
      <c r="D6" s="21" t="s">
        <v>37</v>
      </c>
      <c r="E6" s="20"/>
      <c r="F6" s="20"/>
      <c r="G6" s="20"/>
      <c r="H6" s="20"/>
      <c r="I6" s="20"/>
      <c r="J6" s="20"/>
      <c r="K6" s="20"/>
      <c r="L6" s="20"/>
      <c r="M6" s="20">
        <v>16</v>
      </c>
      <c r="N6" s="20">
        <v>1050</v>
      </c>
      <c r="O6" s="20">
        <v>16</v>
      </c>
      <c r="P6" s="20">
        <v>32</v>
      </c>
      <c r="Q6" s="20">
        <v>650</v>
      </c>
      <c r="R6" s="20">
        <v>0</v>
      </c>
      <c r="S6" s="20">
        <v>400</v>
      </c>
      <c r="T6" s="20">
        <v>2</v>
      </c>
      <c r="U6" s="27">
        <v>8</v>
      </c>
    </row>
    <row r="7" spans="1:21" ht="15.6" x14ac:dyDescent="0.3">
      <c r="A7" s="19"/>
      <c r="B7" s="20"/>
      <c r="C7" s="20"/>
      <c r="D7" s="21" t="s">
        <v>38</v>
      </c>
      <c r="E7" s="20"/>
      <c r="F7" s="20"/>
      <c r="G7" s="20"/>
      <c r="H7" s="20"/>
      <c r="I7" s="20"/>
      <c r="J7" s="20"/>
      <c r="K7" s="20"/>
      <c r="L7" s="20"/>
      <c r="M7" s="20">
        <v>24</v>
      </c>
      <c r="N7" s="20">
        <v>1950</v>
      </c>
      <c r="O7" s="20">
        <v>24</v>
      </c>
      <c r="P7" s="20">
        <v>48</v>
      </c>
      <c r="Q7" s="20">
        <v>1500</v>
      </c>
      <c r="R7" s="20">
        <v>0</v>
      </c>
      <c r="S7" s="20">
        <v>450</v>
      </c>
      <c r="T7" s="20">
        <v>2</v>
      </c>
      <c r="U7" s="27">
        <v>4</v>
      </c>
    </row>
    <row r="8" spans="1:21" ht="15.6" x14ac:dyDescent="0.3">
      <c r="A8" s="19"/>
      <c r="B8" s="20"/>
      <c r="C8" s="20"/>
      <c r="D8" s="21" t="s">
        <v>39</v>
      </c>
      <c r="E8" s="20"/>
      <c r="F8" s="20"/>
      <c r="G8" s="20"/>
      <c r="H8" s="20"/>
      <c r="I8" s="20"/>
      <c r="J8" s="20"/>
      <c r="K8" s="20"/>
      <c r="L8" s="20"/>
      <c r="M8" s="20">
        <v>28</v>
      </c>
      <c r="N8" s="20">
        <v>4750</v>
      </c>
      <c r="O8" s="20">
        <v>28</v>
      </c>
      <c r="P8" s="20">
        <v>112</v>
      </c>
      <c r="Q8" s="20">
        <v>0</v>
      </c>
      <c r="R8" s="20">
        <v>0</v>
      </c>
      <c r="S8" s="20">
        <v>4750</v>
      </c>
      <c r="T8" s="20">
        <v>2</v>
      </c>
      <c r="U8" s="28">
        <v>7</v>
      </c>
    </row>
    <row r="9" spans="1:21" ht="15.6" x14ac:dyDescent="0.3">
      <c r="A9" s="19"/>
      <c r="B9" s="20"/>
      <c r="C9" s="20"/>
      <c r="D9" s="21" t="s">
        <v>40</v>
      </c>
      <c r="E9" s="20"/>
      <c r="F9" s="20"/>
      <c r="G9" s="20"/>
      <c r="H9" s="20"/>
      <c r="I9" s="20"/>
      <c r="J9" s="20"/>
      <c r="K9" s="20"/>
      <c r="L9" s="20"/>
      <c r="M9" s="20">
        <v>52</v>
      </c>
      <c r="N9" s="20">
        <v>1900</v>
      </c>
      <c r="O9" s="20">
        <v>52</v>
      </c>
      <c r="P9" s="20">
        <v>168</v>
      </c>
      <c r="Q9" s="20">
        <v>0</v>
      </c>
      <c r="R9" s="20">
        <v>1550</v>
      </c>
      <c r="S9" s="20">
        <v>350</v>
      </c>
      <c r="T9" s="20">
        <v>2</v>
      </c>
      <c r="U9" s="28">
        <v>10</v>
      </c>
    </row>
    <row r="10" spans="1:21" ht="15.6" x14ac:dyDescent="0.3">
      <c r="A10" s="19"/>
      <c r="B10" s="20"/>
      <c r="C10" s="20"/>
      <c r="D10" s="21" t="s">
        <v>41</v>
      </c>
      <c r="E10" s="20"/>
      <c r="F10" s="20"/>
      <c r="G10" s="20"/>
      <c r="H10" s="20"/>
      <c r="I10" s="20"/>
      <c r="J10" s="20"/>
      <c r="K10" s="20"/>
      <c r="L10" s="20"/>
      <c r="M10" s="20">
        <v>0</v>
      </c>
      <c r="N10" s="20">
        <v>1</v>
      </c>
      <c r="O10" s="20">
        <v>0</v>
      </c>
      <c r="P10" s="20">
        <v>0</v>
      </c>
      <c r="Q10" s="20">
        <v>0</v>
      </c>
      <c r="R10" s="20">
        <v>0</v>
      </c>
      <c r="S10" s="20">
        <v>1</v>
      </c>
      <c r="T10" s="20">
        <v>2</v>
      </c>
      <c r="U10" s="28">
        <v>0</v>
      </c>
    </row>
    <row r="11" spans="1:21" ht="15.6" x14ac:dyDescent="0.3">
      <c r="A11" s="19"/>
      <c r="B11" s="20"/>
      <c r="C11" s="20"/>
      <c r="D11" s="21" t="s">
        <v>42</v>
      </c>
      <c r="E11" s="20"/>
      <c r="F11" s="20"/>
      <c r="G11" s="20"/>
      <c r="H11" s="20"/>
      <c r="I11" s="20"/>
      <c r="J11" s="20"/>
      <c r="K11" s="20"/>
      <c r="L11" s="20"/>
      <c r="M11" s="20">
        <v>12</v>
      </c>
      <c r="N11" s="20">
        <v>0</v>
      </c>
      <c r="O11" s="20">
        <v>12</v>
      </c>
      <c r="P11" s="20">
        <v>24</v>
      </c>
      <c r="Q11" s="20">
        <v>0</v>
      </c>
      <c r="R11" s="20">
        <v>0</v>
      </c>
      <c r="S11" s="20">
        <v>0</v>
      </c>
      <c r="T11" s="20">
        <v>2</v>
      </c>
      <c r="U11" s="28">
        <v>0</v>
      </c>
    </row>
    <row r="12" spans="1:21" ht="15.6" x14ac:dyDescent="0.3">
      <c r="A12" s="19"/>
      <c r="B12" s="20"/>
      <c r="C12" s="20"/>
      <c r="D12" s="21" t="s">
        <v>43</v>
      </c>
      <c r="E12" s="20"/>
      <c r="F12" s="20"/>
      <c r="G12" s="20"/>
      <c r="H12" s="20"/>
      <c r="I12" s="20"/>
      <c r="J12" s="20"/>
      <c r="K12" s="20"/>
      <c r="L12" s="20"/>
      <c r="M12" s="20">
        <v>8</v>
      </c>
      <c r="N12" s="20">
        <v>250</v>
      </c>
      <c r="O12" s="20">
        <v>8</v>
      </c>
      <c r="P12" s="20">
        <v>16</v>
      </c>
      <c r="Q12" s="20">
        <v>100</v>
      </c>
      <c r="R12" s="20">
        <v>0</v>
      </c>
      <c r="S12" s="20">
        <v>150</v>
      </c>
      <c r="T12" s="20">
        <v>2</v>
      </c>
      <c r="U12" s="28">
        <v>3</v>
      </c>
    </row>
    <row r="13" spans="1:21" ht="15.6" x14ac:dyDescent="0.3">
      <c r="A13" s="19"/>
      <c r="B13" s="20"/>
      <c r="C13" s="20"/>
      <c r="D13" s="21" t="s">
        <v>44</v>
      </c>
      <c r="E13" s="20"/>
      <c r="F13" s="20"/>
      <c r="G13" s="20"/>
      <c r="H13" s="20"/>
      <c r="I13" s="20"/>
      <c r="J13" s="20"/>
      <c r="K13" s="20"/>
      <c r="L13" s="20"/>
      <c r="M13" s="20">
        <v>64</v>
      </c>
      <c r="N13" s="20">
        <v>450</v>
      </c>
      <c r="O13" s="20">
        <v>64</v>
      </c>
      <c r="P13" s="20">
        <v>160</v>
      </c>
      <c r="Q13" s="20">
        <v>450</v>
      </c>
      <c r="R13" s="20">
        <v>0</v>
      </c>
      <c r="S13" s="20">
        <v>0</v>
      </c>
      <c r="T13" s="20">
        <v>2</v>
      </c>
      <c r="U13" s="26">
        <v>5</v>
      </c>
    </row>
    <row r="14" spans="1:21" x14ac:dyDescent="0.3">
      <c r="A14" s="19"/>
      <c r="B14" s="20"/>
      <c r="C14" s="20"/>
      <c r="D14" s="21" t="s">
        <v>45</v>
      </c>
      <c r="E14" s="20"/>
      <c r="F14" s="20"/>
      <c r="G14" s="20"/>
      <c r="H14" s="20"/>
      <c r="I14" s="20"/>
      <c r="J14" s="20"/>
      <c r="K14" s="20"/>
      <c r="L14" s="20"/>
      <c r="M14" s="20">
        <v>81</v>
      </c>
      <c r="N14" s="20">
        <v>360</v>
      </c>
      <c r="O14" s="20">
        <v>81</v>
      </c>
      <c r="P14" s="20">
        <v>119</v>
      </c>
      <c r="Q14" s="20">
        <v>0</v>
      </c>
      <c r="R14" s="20">
        <v>0</v>
      </c>
      <c r="S14" s="20">
        <v>360</v>
      </c>
      <c r="T14" s="20">
        <v>2</v>
      </c>
      <c r="U14" s="22">
        <v>5</v>
      </c>
    </row>
    <row r="15" spans="1:21" x14ac:dyDescent="0.3">
      <c r="A15" s="19"/>
      <c r="B15" s="20"/>
      <c r="C15" s="20"/>
      <c r="D15" s="21" t="s">
        <v>22</v>
      </c>
      <c r="E15" s="20"/>
      <c r="F15" s="20"/>
      <c r="G15" s="20"/>
      <c r="H15" s="20"/>
      <c r="I15" s="20"/>
      <c r="J15" s="20"/>
      <c r="K15" s="20"/>
      <c r="L15" s="20"/>
      <c r="M15" s="20">
        <v>2</v>
      </c>
      <c r="N15" s="20">
        <v>150</v>
      </c>
      <c r="O15" s="20">
        <v>2</v>
      </c>
      <c r="P15" s="20">
        <v>4</v>
      </c>
      <c r="Q15" s="20">
        <v>0</v>
      </c>
      <c r="R15" s="20">
        <v>0</v>
      </c>
      <c r="S15" s="20">
        <v>150</v>
      </c>
      <c r="T15" s="20">
        <v>2</v>
      </c>
      <c r="U15" s="22">
        <v>1</v>
      </c>
    </row>
    <row r="16" spans="1:21" x14ac:dyDescent="0.3">
      <c r="A16" s="19"/>
      <c r="B16" s="20"/>
      <c r="C16" s="20"/>
      <c r="D16" s="21" t="s">
        <v>28</v>
      </c>
      <c r="E16" s="20"/>
      <c r="F16" s="20"/>
      <c r="G16" s="20"/>
      <c r="H16" s="20"/>
      <c r="I16" s="20"/>
      <c r="J16" s="20"/>
      <c r="K16" s="20"/>
      <c r="L16" s="20"/>
      <c r="M16" s="20">
        <v>2</v>
      </c>
      <c r="N16" s="20">
        <v>150</v>
      </c>
      <c r="O16" s="20">
        <v>2</v>
      </c>
      <c r="P16" s="20">
        <v>4</v>
      </c>
      <c r="Q16" s="20">
        <v>0</v>
      </c>
      <c r="R16" s="20">
        <v>0</v>
      </c>
      <c r="S16" s="20">
        <v>150</v>
      </c>
      <c r="T16" s="20">
        <v>2</v>
      </c>
      <c r="U16" s="22">
        <v>1</v>
      </c>
    </row>
    <row r="17" spans="1:21" x14ac:dyDescent="0.3">
      <c r="A17" s="19"/>
      <c r="B17" s="20"/>
      <c r="C17" s="20"/>
      <c r="D17" s="21" t="s">
        <v>29</v>
      </c>
      <c r="E17" s="20"/>
      <c r="F17" s="20"/>
      <c r="G17" s="20"/>
      <c r="H17" s="20"/>
      <c r="I17" s="20"/>
      <c r="J17" s="20"/>
      <c r="K17" s="20"/>
      <c r="L17" s="20"/>
      <c r="M17" s="20">
        <v>2</v>
      </c>
      <c r="N17" s="20">
        <v>150</v>
      </c>
      <c r="O17" s="20">
        <v>2</v>
      </c>
      <c r="P17" s="20">
        <v>4</v>
      </c>
      <c r="Q17" s="20">
        <v>0</v>
      </c>
      <c r="R17" s="20">
        <v>0</v>
      </c>
      <c r="S17" s="20">
        <v>150</v>
      </c>
      <c r="T17" s="20">
        <v>2</v>
      </c>
      <c r="U17" s="22">
        <v>1</v>
      </c>
    </row>
    <row r="18" spans="1:21" x14ac:dyDescent="0.3">
      <c r="A18" s="19"/>
      <c r="B18" s="20"/>
      <c r="C18" s="20"/>
      <c r="D18" s="21" t="s">
        <v>30</v>
      </c>
      <c r="E18" s="20"/>
      <c r="F18" s="20"/>
      <c r="G18" s="20"/>
      <c r="H18" s="20"/>
      <c r="I18" s="20"/>
      <c r="J18" s="20"/>
      <c r="K18" s="20"/>
      <c r="L18" s="20"/>
      <c r="M18" s="20">
        <v>2</v>
      </c>
      <c r="N18" s="20">
        <v>150</v>
      </c>
      <c r="O18" s="20">
        <v>2</v>
      </c>
      <c r="P18" s="20">
        <v>4</v>
      </c>
      <c r="Q18" s="20">
        <v>0</v>
      </c>
      <c r="R18" s="20">
        <v>0</v>
      </c>
      <c r="S18" s="20">
        <v>150</v>
      </c>
      <c r="T18" s="20">
        <v>2</v>
      </c>
      <c r="U18" s="22">
        <v>1</v>
      </c>
    </row>
    <row r="19" spans="1:21" x14ac:dyDescent="0.3">
      <c r="A19" s="19"/>
      <c r="B19" s="20"/>
      <c r="C19" s="20"/>
      <c r="D19" s="21" t="s">
        <v>46</v>
      </c>
      <c r="E19" s="20"/>
      <c r="F19" s="20"/>
      <c r="G19" s="20"/>
      <c r="H19" s="20"/>
      <c r="I19" s="20"/>
      <c r="J19" s="20"/>
      <c r="K19" s="20"/>
      <c r="L19" s="20"/>
      <c r="M19" s="20">
        <v>116</v>
      </c>
      <c r="N19" s="20">
        <v>4350</v>
      </c>
      <c r="O19" s="20">
        <v>116</v>
      </c>
      <c r="P19" s="20">
        <v>140</v>
      </c>
      <c r="Q19" s="20">
        <v>1450</v>
      </c>
      <c r="R19" s="20">
        <v>0</v>
      </c>
      <c r="S19" s="20">
        <v>2900</v>
      </c>
      <c r="T19" s="20">
        <v>2</v>
      </c>
      <c r="U19" s="22">
        <v>0</v>
      </c>
    </row>
    <row r="20" spans="1:21" ht="28.8" x14ac:dyDescent="0.3">
      <c r="A20" s="19"/>
      <c r="B20" s="20"/>
      <c r="C20" s="20"/>
      <c r="D20" s="21" t="s">
        <v>47</v>
      </c>
      <c r="E20" s="20"/>
      <c r="F20" s="20"/>
      <c r="G20" s="20"/>
      <c r="H20" s="20"/>
      <c r="I20" s="20"/>
      <c r="J20" s="20"/>
      <c r="K20" s="20"/>
      <c r="L20" s="20"/>
      <c r="M20" s="20">
        <v>98</v>
      </c>
      <c r="N20" s="20">
        <v>2600</v>
      </c>
      <c r="O20" s="20">
        <v>98</v>
      </c>
      <c r="P20" s="20">
        <v>320</v>
      </c>
      <c r="Q20" s="20">
        <v>1500</v>
      </c>
      <c r="R20" s="20">
        <v>0</v>
      </c>
      <c r="S20" s="20">
        <v>1100</v>
      </c>
      <c r="T20" s="20">
        <v>2</v>
      </c>
      <c r="U20" s="22">
        <v>0</v>
      </c>
    </row>
    <row r="21" spans="1:21" ht="28.8" x14ac:dyDescent="0.3">
      <c r="A21" s="19"/>
      <c r="B21" s="20"/>
      <c r="C21" s="20"/>
      <c r="D21" s="21" t="s">
        <v>48</v>
      </c>
      <c r="E21" s="20"/>
      <c r="F21" s="20"/>
      <c r="G21" s="20"/>
      <c r="H21" s="20"/>
      <c r="I21" s="20"/>
      <c r="J21" s="20"/>
      <c r="K21" s="20"/>
      <c r="L21" s="20"/>
      <c r="M21" s="20">
        <v>1</v>
      </c>
      <c r="N21" s="20">
        <v>0</v>
      </c>
      <c r="O21" s="20">
        <v>1</v>
      </c>
      <c r="P21" s="20">
        <v>2</v>
      </c>
      <c r="Q21" s="20">
        <v>0</v>
      </c>
      <c r="R21" s="20">
        <v>0</v>
      </c>
      <c r="S21" s="20">
        <v>0</v>
      </c>
      <c r="T21" s="20">
        <v>2</v>
      </c>
      <c r="U21" s="22">
        <v>0</v>
      </c>
    </row>
    <row r="22" spans="1:21" x14ac:dyDescent="0.3">
      <c r="A22" s="19"/>
      <c r="B22" s="20"/>
      <c r="C22" s="20"/>
      <c r="D22" s="21" t="s">
        <v>49</v>
      </c>
      <c r="E22" s="20"/>
      <c r="F22" s="20"/>
      <c r="G22" s="20"/>
      <c r="H22" s="20"/>
      <c r="I22" s="20"/>
      <c r="J22" s="20"/>
      <c r="K22" s="20"/>
      <c r="L22" s="20"/>
      <c r="M22" s="20">
        <v>0</v>
      </c>
      <c r="N22" s="20">
        <v>50</v>
      </c>
      <c r="O22" s="20">
        <v>0</v>
      </c>
      <c r="P22" s="20">
        <v>0</v>
      </c>
      <c r="Q22" s="20">
        <v>0</v>
      </c>
      <c r="R22" s="20">
        <v>0</v>
      </c>
      <c r="S22" s="20">
        <v>50</v>
      </c>
      <c r="T22" s="20">
        <v>2</v>
      </c>
      <c r="U22" s="22">
        <v>0</v>
      </c>
    </row>
    <row r="23" spans="1:21" x14ac:dyDescent="0.3">
      <c r="A23" s="19"/>
      <c r="B23" s="20"/>
      <c r="C23" s="20"/>
      <c r="D23" s="21" t="s">
        <v>50</v>
      </c>
      <c r="E23" s="20"/>
      <c r="F23" s="20"/>
      <c r="G23" s="20"/>
      <c r="H23" s="20"/>
      <c r="I23" s="20"/>
      <c r="J23" s="20"/>
      <c r="K23" s="20"/>
      <c r="L23" s="20"/>
      <c r="M23" s="20">
        <v>0</v>
      </c>
      <c r="N23" s="20">
        <v>50</v>
      </c>
      <c r="O23" s="20">
        <v>0</v>
      </c>
      <c r="P23" s="20">
        <v>0</v>
      </c>
      <c r="Q23" s="20">
        <v>0</v>
      </c>
      <c r="R23" s="20">
        <v>0</v>
      </c>
      <c r="S23" s="20">
        <v>50</v>
      </c>
      <c r="T23" s="20">
        <v>2</v>
      </c>
      <c r="U23" s="22">
        <v>0</v>
      </c>
    </row>
    <row r="24" spans="1:21" x14ac:dyDescent="0.3">
      <c r="A24" s="19"/>
      <c r="B24" s="20"/>
      <c r="C24" s="20"/>
      <c r="D24" s="21" t="s">
        <v>51</v>
      </c>
      <c r="E24" s="20"/>
      <c r="F24" s="20"/>
      <c r="G24" s="20"/>
      <c r="H24" s="20"/>
      <c r="I24" s="20"/>
      <c r="J24" s="20"/>
      <c r="K24" s="20"/>
      <c r="L24" s="20"/>
      <c r="M24" s="20">
        <v>0</v>
      </c>
      <c r="N24" s="20">
        <v>50</v>
      </c>
      <c r="O24" s="20">
        <v>0</v>
      </c>
      <c r="P24" s="20">
        <v>0</v>
      </c>
      <c r="Q24" s="20">
        <v>0</v>
      </c>
      <c r="R24" s="20">
        <v>0</v>
      </c>
      <c r="S24" s="20">
        <v>50</v>
      </c>
      <c r="T24" s="20">
        <v>2</v>
      </c>
      <c r="U24" s="22">
        <v>0</v>
      </c>
    </row>
    <row r="25" spans="1:21" x14ac:dyDescent="0.3">
      <c r="A25" s="19"/>
      <c r="B25" s="20"/>
      <c r="C25" s="20"/>
      <c r="D25" s="21" t="s">
        <v>52</v>
      </c>
      <c r="E25" s="20"/>
      <c r="F25" s="20"/>
      <c r="G25" s="20"/>
      <c r="H25" s="20"/>
      <c r="I25" s="20"/>
      <c r="J25" s="20"/>
      <c r="K25" s="20"/>
      <c r="L25" s="20"/>
      <c r="M25" s="20">
        <v>0</v>
      </c>
      <c r="N25" s="20">
        <v>50</v>
      </c>
      <c r="O25" s="20">
        <v>0</v>
      </c>
      <c r="P25" s="20">
        <v>0</v>
      </c>
      <c r="Q25" s="20">
        <v>0</v>
      </c>
      <c r="R25" s="20">
        <v>0</v>
      </c>
      <c r="S25" s="20">
        <v>50</v>
      </c>
      <c r="T25" s="20">
        <v>2</v>
      </c>
      <c r="U25" s="22">
        <v>0</v>
      </c>
    </row>
    <row r="26" spans="1:21" x14ac:dyDescent="0.3">
      <c r="A26" s="19"/>
      <c r="B26" s="20"/>
      <c r="C26" s="20"/>
      <c r="D26" s="21" t="s">
        <v>53</v>
      </c>
      <c r="E26" s="20"/>
      <c r="F26" s="20"/>
      <c r="G26" s="20"/>
      <c r="H26" s="20"/>
      <c r="I26" s="20"/>
      <c r="J26" s="20"/>
      <c r="K26" s="20"/>
      <c r="L26" s="20"/>
      <c r="M26" s="20">
        <v>0</v>
      </c>
      <c r="N26" s="20">
        <v>50</v>
      </c>
      <c r="O26" s="20">
        <v>0</v>
      </c>
      <c r="P26" s="20">
        <v>0</v>
      </c>
      <c r="Q26" s="20">
        <v>0</v>
      </c>
      <c r="R26" s="20">
        <v>0</v>
      </c>
      <c r="S26" s="20">
        <v>50</v>
      </c>
      <c r="T26" s="20">
        <v>2</v>
      </c>
      <c r="U26" s="22">
        <v>0</v>
      </c>
    </row>
    <row r="27" spans="1:21" x14ac:dyDescent="0.3">
      <c r="A27" s="19"/>
      <c r="B27" s="20"/>
      <c r="C27" s="20"/>
      <c r="D27" s="21" t="s">
        <v>31</v>
      </c>
      <c r="E27" s="20"/>
      <c r="F27" s="20"/>
      <c r="G27" s="20"/>
      <c r="H27" s="20"/>
      <c r="I27" s="20"/>
      <c r="J27" s="20"/>
      <c r="K27" s="20"/>
      <c r="L27" s="20"/>
      <c r="M27" s="20">
        <v>0</v>
      </c>
      <c r="N27" s="20">
        <v>50</v>
      </c>
      <c r="O27" s="20">
        <v>0</v>
      </c>
      <c r="P27" s="20">
        <v>0</v>
      </c>
      <c r="Q27" s="20">
        <v>0</v>
      </c>
      <c r="R27" s="20">
        <v>0</v>
      </c>
      <c r="S27" s="20">
        <v>50</v>
      </c>
      <c r="T27" s="20">
        <v>2</v>
      </c>
      <c r="U27" s="22">
        <v>0</v>
      </c>
    </row>
    <row r="28" spans="1:21" ht="28.8" x14ac:dyDescent="0.3">
      <c r="A28" s="19"/>
      <c r="B28" s="20"/>
      <c r="C28" s="20"/>
      <c r="D28" s="21" t="s">
        <v>32</v>
      </c>
      <c r="E28" s="20"/>
      <c r="F28" s="20"/>
      <c r="G28" s="20"/>
      <c r="H28" s="20"/>
      <c r="I28" s="20"/>
      <c r="J28" s="20"/>
      <c r="K28" s="20"/>
      <c r="L28" s="20"/>
      <c r="M28" s="20">
        <v>0</v>
      </c>
      <c r="N28" s="20">
        <v>50</v>
      </c>
      <c r="O28" s="20">
        <v>0</v>
      </c>
      <c r="P28" s="20">
        <v>0</v>
      </c>
      <c r="Q28" s="20">
        <v>0</v>
      </c>
      <c r="R28" s="20">
        <v>0</v>
      </c>
      <c r="S28" s="20">
        <v>50</v>
      </c>
      <c r="T28" s="20">
        <v>2</v>
      </c>
      <c r="U28" s="22">
        <v>0</v>
      </c>
    </row>
    <row r="29" spans="1:21" x14ac:dyDescent="0.3">
      <c r="A29" s="19"/>
      <c r="B29" s="20"/>
      <c r="C29" s="20"/>
      <c r="D29" s="21" t="s">
        <v>54</v>
      </c>
      <c r="E29" s="20"/>
      <c r="F29" s="20"/>
      <c r="G29" s="20"/>
      <c r="H29" s="20"/>
      <c r="I29" s="20"/>
      <c r="J29" s="20"/>
      <c r="K29" s="20"/>
      <c r="L29" s="20"/>
      <c r="M29" s="20">
        <v>0</v>
      </c>
      <c r="N29" s="20">
        <v>50</v>
      </c>
      <c r="O29" s="20">
        <v>0</v>
      </c>
      <c r="P29" s="20">
        <v>0</v>
      </c>
      <c r="Q29" s="20">
        <v>0</v>
      </c>
      <c r="R29" s="20">
        <v>0</v>
      </c>
      <c r="S29" s="20">
        <v>50</v>
      </c>
      <c r="T29" s="20">
        <v>2</v>
      </c>
      <c r="U29" s="22">
        <v>0</v>
      </c>
    </row>
    <row r="30" spans="1:21" x14ac:dyDescent="0.3">
      <c r="A30" s="19"/>
      <c r="B30" s="20"/>
      <c r="C30" s="20"/>
      <c r="D30" s="21" t="s">
        <v>55</v>
      </c>
      <c r="E30" s="20"/>
      <c r="F30" s="20"/>
      <c r="G30" s="20"/>
      <c r="H30" s="20"/>
      <c r="I30" s="20"/>
      <c r="J30" s="20"/>
      <c r="K30" s="20"/>
      <c r="L30" s="20"/>
      <c r="M30" s="20">
        <v>0</v>
      </c>
      <c r="N30" s="20">
        <v>50</v>
      </c>
      <c r="O30" s="20">
        <v>0</v>
      </c>
      <c r="P30" s="20">
        <v>0</v>
      </c>
      <c r="Q30" s="20">
        <v>0</v>
      </c>
      <c r="R30" s="20">
        <v>0</v>
      </c>
      <c r="S30" s="20">
        <v>50</v>
      </c>
      <c r="T30" s="20">
        <v>2</v>
      </c>
      <c r="U30" s="22">
        <v>0</v>
      </c>
    </row>
    <row r="31" spans="1:21" x14ac:dyDescent="0.3">
      <c r="A31" s="19"/>
      <c r="B31" s="20"/>
      <c r="C31" s="20"/>
      <c r="D31" s="21" t="s">
        <v>56</v>
      </c>
      <c r="E31" s="20"/>
      <c r="F31" s="20"/>
      <c r="G31" s="20"/>
      <c r="H31" s="20"/>
      <c r="I31" s="20"/>
      <c r="J31" s="20"/>
      <c r="K31" s="20"/>
      <c r="L31" s="20"/>
      <c r="M31" s="20">
        <v>0</v>
      </c>
      <c r="N31" s="20">
        <v>50</v>
      </c>
      <c r="O31" s="20">
        <v>0</v>
      </c>
      <c r="P31" s="20">
        <v>0</v>
      </c>
      <c r="Q31" s="20">
        <v>0</v>
      </c>
      <c r="R31" s="20">
        <v>0</v>
      </c>
      <c r="S31" s="20">
        <v>50</v>
      </c>
      <c r="T31" s="20">
        <v>2</v>
      </c>
      <c r="U31" s="22">
        <v>0</v>
      </c>
    </row>
    <row r="32" spans="1:21" x14ac:dyDescent="0.3">
      <c r="A32" s="19"/>
      <c r="B32" s="20"/>
      <c r="C32" s="20"/>
      <c r="D32" s="21" t="s">
        <v>57</v>
      </c>
      <c r="E32" s="20"/>
      <c r="F32" s="20"/>
      <c r="G32" s="20"/>
      <c r="H32" s="20"/>
      <c r="I32" s="20"/>
      <c r="J32" s="20"/>
      <c r="K32" s="20"/>
      <c r="L32" s="20"/>
      <c r="M32" s="20">
        <v>0</v>
      </c>
      <c r="N32" s="20">
        <v>50</v>
      </c>
      <c r="O32" s="20">
        <v>0</v>
      </c>
      <c r="P32" s="20">
        <v>0</v>
      </c>
      <c r="Q32" s="20">
        <v>0</v>
      </c>
      <c r="R32" s="20">
        <v>0</v>
      </c>
      <c r="S32" s="20">
        <v>50</v>
      </c>
      <c r="T32" s="20">
        <v>2</v>
      </c>
      <c r="U32" s="22">
        <v>0</v>
      </c>
    </row>
    <row r="33" spans="1:21" x14ac:dyDescent="0.3">
      <c r="A33" s="19"/>
      <c r="B33" s="20"/>
      <c r="C33" s="20"/>
      <c r="D33" s="21" t="s">
        <v>33</v>
      </c>
      <c r="E33" s="20"/>
      <c r="F33" s="20"/>
      <c r="G33" s="20"/>
      <c r="H33" s="20"/>
      <c r="I33" s="20"/>
      <c r="J33" s="20"/>
      <c r="K33" s="20"/>
      <c r="L33" s="20"/>
      <c r="M33" s="20">
        <v>8</v>
      </c>
      <c r="N33" s="20">
        <v>550</v>
      </c>
      <c r="O33" s="20">
        <v>8</v>
      </c>
      <c r="P33" s="20">
        <v>16</v>
      </c>
      <c r="Q33" s="20">
        <v>0</v>
      </c>
      <c r="R33" s="20">
        <v>400</v>
      </c>
      <c r="S33" s="20">
        <v>150</v>
      </c>
      <c r="T33" s="20">
        <v>2</v>
      </c>
      <c r="U33" s="22">
        <v>2</v>
      </c>
    </row>
    <row r="34" spans="1:21" ht="28.8" x14ac:dyDescent="0.3">
      <c r="A34" s="23"/>
      <c r="B34" s="24"/>
      <c r="C34" s="24"/>
      <c r="D34" s="25" t="s">
        <v>58</v>
      </c>
      <c r="E34" s="24"/>
      <c r="F34" s="24"/>
      <c r="G34" s="24"/>
      <c r="H34" s="24"/>
      <c r="I34" s="24"/>
      <c r="J34" s="24"/>
      <c r="K34" s="24"/>
      <c r="L34" s="24"/>
      <c r="M34" s="20">
        <v>0</v>
      </c>
      <c r="N34" s="20">
        <v>50</v>
      </c>
      <c r="O34" s="20">
        <v>0</v>
      </c>
      <c r="P34" s="20">
        <v>0</v>
      </c>
      <c r="Q34" s="20">
        <v>0</v>
      </c>
      <c r="R34" s="20">
        <v>0</v>
      </c>
      <c r="S34" s="20">
        <v>50</v>
      </c>
      <c r="T34" s="20">
        <v>2</v>
      </c>
      <c r="U34" s="22">
        <v>0</v>
      </c>
    </row>
  </sheetData>
  <mergeCells count="14">
    <mergeCell ref="K1:K2"/>
    <mergeCell ref="L1:L2"/>
    <mergeCell ref="M1:N1"/>
    <mergeCell ref="O1:U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zoomScale="55" zoomScaleNormal="5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5" sqref="A5:V5"/>
    </sheetView>
  </sheetViews>
  <sheetFormatPr defaultRowHeight="14.4" x14ac:dyDescent="0.3"/>
  <cols>
    <col min="1" max="13" width="18.33203125" customWidth="1"/>
    <col min="14" max="22" width="18.44140625" customWidth="1"/>
  </cols>
  <sheetData>
    <row r="1" spans="1:23" ht="27.75" customHeight="1" x14ac:dyDescent="0.3">
      <c r="C1" s="42" t="s">
        <v>71</v>
      </c>
      <c r="D1" s="42"/>
      <c r="E1" s="42"/>
      <c r="F1" s="42"/>
      <c r="G1" s="42"/>
      <c r="H1" s="42"/>
      <c r="I1" s="42"/>
      <c r="J1" s="42"/>
      <c r="K1" s="42"/>
      <c r="L1" s="42" t="s">
        <v>80</v>
      </c>
      <c r="M1" s="42"/>
      <c r="N1" s="43" t="s">
        <v>72</v>
      </c>
      <c r="O1" s="43"/>
      <c r="P1" s="43"/>
      <c r="Q1" s="43"/>
      <c r="R1" s="43"/>
      <c r="S1" s="43"/>
      <c r="T1" s="43"/>
      <c r="U1" s="43"/>
      <c r="V1" s="43"/>
    </row>
    <row r="2" spans="1:23" ht="43.5" customHeight="1" x14ac:dyDescent="0.3">
      <c r="A2" s="44" t="s">
        <v>59</v>
      </c>
      <c r="B2" s="45" t="s">
        <v>60</v>
      </c>
      <c r="C2" s="47" t="s">
        <v>61</v>
      </c>
      <c r="D2" s="47"/>
      <c r="E2" s="47" t="s">
        <v>62</v>
      </c>
      <c r="F2" s="47"/>
      <c r="G2" s="47"/>
      <c r="H2" s="47"/>
      <c r="I2" s="47"/>
      <c r="J2" s="47"/>
      <c r="K2" s="47"/>
      <c r="L2" s="47" t="s">
        <v>62</v>
      </c>
      <c r="M2" s="47"/>
      <c r="N2" s="41" t="s">
        <v>61</v>
      </c>
      <c r="O2" s="41"/>
      <c r="P2" s="41" t="s">
        <v>62</v>
      </c>
      <c r="Q2" s="41"/>
      <c r="R2" s="41"/>
      <c r="S2" s="41"/>
      <c r="T2" s="41"/>
      <c r="U2" s="41"/>
      <c r="V2" s="41"/>
    </row>
    <row r="3" spans="1:23" ht="114.6" x14ac:dyDescent="0.3">
      <c r="A3" s="44"/>
      <c r="B3" s="46"/>
      <c r="C3" s="30" t="s">
        <v>63</v>
      </c>
      <c r="D3" s="30" t="s">
        <v>64</v>
      </c>
      <c r="E3" s="30" t="s">
        <v>63</v>
      </c>
      <c r="F3" s="30" t="s">
        <v>65</v>
      </c>
      <c r="G3" s="30" t="s">
        <v>66</v>
      </c>
      <c r="H3" s="30" t="s">
        <v>67</v>
      </c>
      <c r="I3" s="30" t="s">
        <v>68</v>
      </c>
      <c r="J3" s="30" t="s">
        <v>69</v>
      </c>
      <c r="K3" s="30" t="s">
        <v>21</v>
      </c>
      <c r="L3" s="30" t="s">
        <v>63</v>
      </c>
      <c r="M3" s="30" t="s">
        <v>65</v>
      </c>
      <c r="N3" s="29" t="s">
        <v>63</v>
      </c>
      <c r="O3" s="29" t="s">
        <v>64</v>
      </c>
      <c r="P3" s="29" t="s">
        <v>63</v>
      </c>
      <c r="Q3" s="29" t="s">
        <v>65</v>
      </c>
      <c r="R3" s="29" t="s">
        <v>66</v>
      </c>
      <c r="S3" s="29" t="s">
        <v>67</v>
      </c>
      <c r="T3" s="29" t="s">
        <v>68</v>
      </c>
      <c r="U3" s="29" t="s">
        <v>69</v>
      </c>
      <c r="V3" s="29" t="s">
        <v>21</v>
      </c>
    </row>
    <row r="4" spans="1:23" ht="43.2" x14ac:dyDescent="0.3">
      <c r="A4" s="21" t="s">
        <v>34</v>
      </c>
      <c r="B4" s="31" t="s">
        <v>23</v>
      </c>
      <c r="C4">
        <f>E4</f>
        <v>10</v>
      </c>
      <c r="D4">
        <f>SUM(G4:I4)</f>
        <v>350</v>
      </c>
      <c r="E4">
        <v>10</v>
      </c>
      <c r="F4">
        <v>20</v>
      </c>
      <c r="G4">
        <v>200</v>
      </c>
      <c r="H4">
        <v>0</v>
      </c>
      <c r="I4">
        <v>150</v>
      </c>
      <c r="J4">
        <v>2</v>
      </c>
      <c r="K4">
        <v>3</v>
      </c>
      <c r="L4" t="s">
        <v>77</v>
      </c>
      <c r="M4" t="s">
        <v>77</v>
      </c>
      <c r="N4" t="str">
        <f>P4</f>
        <v>Нет</v>
      </c>
      <c r="O4">
        <f>SUM(R4:T4)</f>
        <v>0</v>
      </c>
      <c r="P4" t="s">
        <v>77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</row>
    <row r="5" spans="1:23" ht="43.2" x14ac:dyDescent="0.3">
      <c r="A5" s="21" t="s">
        <v>34</v>
      </c>
      <c r="B5" s="31" t="s">
        <v>81</v>
      </c>
      <c r="C5">
        <f>E5</f>
        <v>10</v>
      </c>
      <c r="D5">
        <f>SUM(G5:I5)</f>
        <v>350</v>
      </c>
      <c r="E5">
        <v>10</v>
      </c>
      <c r="F5">
        <v>20</v>
      </c>
      <c r="G5">
        <v>200</v>
      </c>
      <c r="H5">
        <v>0</v>
      </c>
      <c r="I5">
        <v>150</v>
      </c>
      <c r="J5">
        <v>2</v>
      </c>
      <c r="K5">
        <v>3</v>
      </c>
      <c r="L5" t="s">
        <v>77</v>
      </c>
      <c r="M5" t="s">
        <v>77</v>
      </c>
      <c r="N5" t="str">
        <f>P5</f>
        <v>Нет</v>
      </c>
      <c r="O5">
        <f>SUM(R5:T5)</f>
        <v>0</v>
      </c>
      <c r="P5" t="s">
        <v>77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</row>
    <row r="6" spans="1:23" ht="43.2" x14ac:dyDescent="0.3">
      <c r="A6" s="21" t="s">
        <v>35</v>
      </c>
      <c r="B6" s="31" t="s">
        <v>23</v>
      </c>
      <c r="C6">
        <f t="shared" ref="C6:C49" si="0">E6</f>
        <v>62</v>
      </c>
      <c r="D6">
        <f t="shared" ref="D6:D49" si="1">SUM(G6:I6)</f>
        <v>1900</v>
      </c>
      <c r="E6">
        <v>62</v>
      </c>
      <c r="F6">
        <v>188</v>
      </c>
      <c r="G6">
        <v>150</v>
      </c>
      <c r="H6">
        <v>1250</v>
      </c>
      <c r="I6">
        <v>500</v>
      </c>
      <c r="J6">
        <v>2</v>
      </c>
      <c r="K6">
        <v>10</v>
      </c>
      <c r="L6" t="s">
        <v>77</v>
      </c>
      <c r="M6" t="s">
        <v>77</v>
      </c>
      <c r="N6">
        <f t="shared" ref="N6:N12" si="2">P6</f>
        <v>8</v>
      </c>
      <c r="O6">
        <f t="shared" ref="O6:O12" si="3">SUM(R6:T6)</f>
        <v>100</v>
      </c>
      <c r="P6">
        <v>8</v>
      </c>
      <c r="Q6">
        <v>16</v>
      </c>
      <c r="R6">
        <v>0</v>
      </c>
      <c r="S6">
        <v>50</v>
      </c>
      <c r="T6">
        <v>50</v>
      </c>
      <c r="U6">
        <v>2</v>
      </c>
      <c r="V6">
        <v>1</v>
      </c>
    </row>
    <row r="7" spans="1:23" ht="43.2" x14ac:dyDescent="0.3">
      <c r="A7" s="21" t="s">
        <v>36</v>
      </c>
      <c r="B7" s="31" t="s">
        <v>23</v>
      </c>
      <c r="C7">
        <f t="shared" si="0"/>
        <v>12</v>
      </c>
      <c r="D7">
        <f t="shared" si="1"/>
        <v>300</v>
      </c>
      <c r="E7">
        <v>12</v>
      </c>
      <c r="F7">
        <v>24</v>
      </c>
      <c r="G7">
        <v>150</v>
      </c>
      <c r="H7">
        <v>0</v>
      </c>
      <c r="I7">
        <v>150</v>
      </c>
      <c r="J7">
        <v>2</v>
      </c>
      <c r="K7">
        <v>3</v>
      </c>
      <c r="L7" t="s">
        <v>77</v>
      </c>
      <c r="M7" t="s">
        <v>77</v>
      </c>
      <c r="N7" t="str">
        <f t="shared" si="2"/>
        <v>Нет</v>
      </c>
      <c r="O7">
        <f t="shared" si="3"/>
        <v>0</v>
      </c>
      <c r="P7" t="s">
        <v>77</v>
      </c>
      <c r="Q7" t="s">
        <v>77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</row>
    <row r="8" spans="1:23" ht="43.2" x14ac:dyDescent="0.3">
      <c r="A8" s="21" t="s">
        <v>37</v>
      </c>
      <c r="B8" s="31" t="s">
        <v>23</v>
      </c>
      <c r="C8">
        <f t="shared" si="0"/>
        <v>20</v>
      </c>
      <c r="D8">
        <f t="shared" si="1"/>
        <v>1100</v>
      </c>
      <c r="E8">
        <v>20</v>
      </c>
      <c r="F8">
        <v>56</v>
      </c>
      <c r="G8">
        <v>700</v>
      </c>
      <c r="H8">
        <v>0</v>
      </c>
      <c r="I8">
        <v>400</v>
      </c>
      <c r="J8">
        <v>2</v>
      </c>
      <c r="K8">
        <v>8</v>
      </c>
      <c r="L8" t="s">
        <v>77</v>
      </c>
      <c r="M8" t="s">
        <v>77</v>
      </c>
      <c r="N8" t="str">
        <f t="shared" si="2"/>
        <v>Нет</v>
      </c>
      <c r="O8">
        <f t="shared" si="3"/>
        <v>0</v>
      </c>
      <c r="P8" t="s">
        <v>77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</row>
    <row r="9" spans="1:23" ht="57.6" x14ac:dyDescent="0.3">
      <c r="A9" s="21" t="s">
        <v>38</v>
      </c>
      <c r="B9" s="31" t="s">
        <v>23</v>
      </c>
      <c r="C9">
        <f t="shared" si="0"/>
        <v>24</v>
      </c>
      <c r="D9">
        <f t="shared" si="1"/>
        <v>1700</v>
      </c>
      <c r="E9">
        <v>24</v>
      </c>
      <c r="F9">
        <v>48</v>
      </c>
      <c r="G9">
        <v>1500</v>
      </c>
      <c r="H9">
        <v>0</v>
      </c>
      <c r="I9">
        <v>200</v>
      </c>
      <c r="J9">
        <v>2</v>
      </c>
      <c r="K9">
        <v>4</v>
      </c>
      <c r="L9" t="s">
        <v>77</v>
      </c>
      <c r="M9" t="s">
        <v>77</v>
      </c>
      <c r="N9">
        <f t="shared" si="2"/>
        <v>64</v>
      </c>
      <c r="O9">
        <f t="shared" si="3"/>
        <v>600</v>
      </c>
      <c r="P9">
        <v>64</v>
      </c>
      <c r="Q9">
        <v>92</v>
      </c>
      <c r="R9">
        <v>350</v>
      </c>
      <c r="S9">
        <v>0</v>
      </c>
      <c r="T9">
        <v>250</v>
      </c>
      <c r="U9">
        <v>2</v>
      </c>
      <c r="V9">
        <v>5</v>
      </c>
    </row>
    <row r="10" spans="1:23" ht="187.2" x14ac:dyDescent="0.3">
      <c r="A10" s="21" t="s">
        <v>70</v>
      </c>
      <c r="B10" s="31" t="s">
        <v>23</v>
      </c>
      <c r="C10">
        <f t="shared" ref="C10" si="4">E10</f>
        <v>32</v>
      </c>
      <c r="D10">
        <f t="shared" ref="D10" si="5">SUM(G10:I10)</f>
        <v>4490</v>
      </c>
      <c r="E10">
        <v>32</v>
      </c>
      <c r="F10">
        <v>144</v>
      </c>
      <c r="G10">
        <v>2740</v>
      </c>
      <c r="H10">
        <v>0</v>
      </c>
      <c r="I10">
        <v>1750</v>
      </c>
      <c r="J10">
        <v>2</v>
      </c>
      <c r="K10">
        <v>7</v>
      </c>
      <c r="L10" t="s">
        <v>77</v>
      </c>
      <c r="M10" t="s">
        <v>77</v>
      </c>
      <c r="N10" t="str">
        <f t="shared" si="2"/>
        <v>Нет</v>
      </c>
      <c r="O10">
        <f t="shared" si="3"/>
        <v>0</v>
      </c>
      <c r="P10" t="s">
        <v>77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</row>
    <row r="11" spans="1:23" ht="57.6" x14ac:dyDescent="0.3">
      <c r="A11" s="21" t="s">
        <v>39</v>
      </c>
      <c r="B11" s="31" t="s">
        <v>23</v>
      </c>
      <c r="C11">
        <f t="shared" si="0"/>
        <v>28</v>
      </c>
      <c r="D11">
        <f t="shared" si="1"/>
        <v>3550</v>
      </c>
      <c r="E11">
        <v>28</v>
      </c>
      <c r="F11">
        <v>104</v>
      </c>
      <c r="G11">
        <v>1800</v>
      </c>
      <c r="H11">
        <v>0</v>
      </c>
      <c r="I11">
        <v>1750</v>
      </c>
      <c r="J11">
        <v>2</v>
      </c>
      <c r="K11">
        <v>7</v>
      </c>
      <c r="L11" t="s">
        <v>77</v>
      </c>
      <c r="M11" t="s">
        <v>77</v>
      </c>
      <c r="N11" t="str">
        <f t="shared" si="2"/>
        <v>Нет</v>
      </c>
      <c r="O11">
        <f t="shared" si="3"/>
        <v>0</v>
      </c>
      <c r="P11" t="s">
        <v>77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</row>
    <row r="12" spans="1:23" ht="72" x14ac:dyDescent="0.3">
      <c r="A12" s="21" t="s">
        <v>40</v>
      </c>
      <c r="B12" s="31" t="s">
        <v>23</v>
      </c>
      <c r="C12">
        <f t="shared" si="0"/>
        <v>62</v>
      </c>
      <c r="D12">
        <f t="shared" si="1"/>
        <v>1900</v>
      </c>
      <c r="E12">
        <v>62</v>
      </c>
      <c r="F12">
        <v>188</v>
      </c>
      <c r="G12">
        <v>150</v>
      </c>
      <c r="H12">
        <v>1250</v>
      </c>
      <c r="I12">
        <v>500</v>
      </c>
      <c r="J12">
        <v>2</v>
      </c>
      <c r="K12">
        <v>10</v>
      </c>
      <c r="L12" t="s">
        <v>77</v>
      </c>
      <c r="M12" t="s">
        <v>77</v>
      </c>
      <c r="N12">
        <f t="shared" si="2"/>
        <v>8</v>
      </c>
      <c r="O12">
        <f t="shared" si="3"/>
        <v>100</v>
      </c>
      <c r="P12">
        <v>8</v>
      </c>
      <c r="Q12">
        <v>16</v>
      </c>
      <c r="R12">
        <v>0</v>
      </c>
      <c r="S12">
        <v>50</v>
      </c>
      <c r="T12">
        <v>50</v>
      </c>
      <c r="U12">
        <v>2</v>
      </c>
      <c r="V12">
        <v>1</v>
      </c>
    </row>
    <row r="13" spans="1:23" ht="72" x14ac:dyDescent="0.3">
      <c r="A13" s="21" t="s">
        <v>40</v>
      </c>
      <c r="B13" s="31" t="s">
        <v>81</v>
      </c>
      <c r="C13">
        <f t="shared" ref="C13" si="6">E13</f>
        <v>60</v>
      </c>
      <c r="D13">
        <f t="shared" ref="D13" si="7">SUM(G13:I13)</f>
        <v>14000</v>
      </c>
      <c r="E13">
        <v>60</v>
      </c>
      <c r="F13">
        <v>264</v>
      </c>
      <c r="G13">
        <v>2500</v>
      </c>
      <c r="H13">
        <v>0</v>
      </c>
      <c r="I13">
        <v>11500</v>
      </c>
      <c r="J13">
        <v>2</v>
      </c>
      <c r="K13">
        <v>9</v>
      </c>
      <c r="L13" t="s">
        <v>77</v>
      </c>
      <c r="M13" t="s">
        <v>77</v>
      </c>
      <c r="O13" t="s">
        <v>77</v>
      </c>
      <c r="P13" t="s">
        <v>77</v>
      </c>
      <c r="Q13" t="s">
        <v>77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</row>
    <row r="14" spans="1:23" ht="43.2" x14ac:dyDescent="0.3">
      <c r="A14" s="21" t="s">
        <v>41</v>
      </c>
      <c r="B14" s="31" t="s">
        <v>23</v>
      </c>
      <c r="C14" t="str">
        <f t="shared" si="0"/>
        <v>Нет</v>
      </c>
      <c r="D14">
        <f t="shared" si="1"/>
        <v>0</v>
      </c>
      <c r="E14" t="s">
        <v>77</v>
      </c>
      <c r="F14" t="s">
        <v>77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>
        <f t="shared" ref="N14:N48" si="8">P14</f>
        <v>40</v>
      </c>
      <c r="O14">
        <f t="shared" ref="O14:O48" si="9">SUM(R14:T14)</f>
        <v>200</v>
      </c>
      <c r="P14">
        <v>40</v>
      </c>
      <c r="Q14">
        <v>48</v>
      </c>
      <c r="R14">
        <v>0</v>
      </c>
      <c r="S14">
        <v>0</v>
      </c>
      <c r="T14">
        <v>200</v>
      </c>
      <c r="U14">
        <v>1</v>
      </c>
      <c r="V14">
        <v>4</v>
      </c>
      <c r="W14" t="s">
        <v>79</v>
      </c>
    </row>
    <row r="15" spans="1:23" ht="43.2" x14ac:dyDescent="0.3">
      <c r="A15" s="21" t="s">
        <v>41</v>
      </c>
      <c r="B15" s="31" t="s">
        <v>23</v>
      </c>
      <c r="C15" t="str">
        <f t="shared" ref="C15" si="10">E15</f>
        <v>Нет</v>
      </c>
      <c r="D15">
        <f t="shared" ref="D15" si="11">SUM(G15:I15)</f>
        <v>0</v>
      </c>
      <c r="E15" t="s">
        <v>77</v>
      </c>
      <c r="F15" t="s">
        <v>77</v>
      </c>
      <c r="G15" t="s">
        <v>77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>
        <f t="shared" ref="N15" si="12">P15</f>
        <v>8</v>
      </c>
      <c r="O15">
        <f t="shared" ref="O15" si="13">SUM(R15:T15)</f>
        <v>100</v>
      </c>
      <c r="P15">
        <v>8</v>
      </c>
      <c r="Q15">
        <v>8</v>
      </c>
      <c r="R15">
        <v>0</v>
      </c>
      <c r="S15">
        <v>0</v>
      </c>
      <c r="T15">
        <v>100</v>
      </c>
      <c r="U15">
        <v>2</v>
      </c>
      <c r="V15">
        <v>1</v>
      </c>
      <c r="W15" t="s">
        <v>78</v>
      </c>
    </row>
    <row r="16" spans="1:23" ht="57.6" x14ac:dyDescent="0.3">
      <c r="A16" s="21" t="s">
        <v>42</v>
      </c>
      <c r="B16" s="31" t="s">
        <v>23</v>
      </c>
      <c r="C16">
        <f t="shared" si="0"/>
        <v>8</v>
      </c>
      <c r="D16">
        <f t="shared" si="1"/>
        <v>0</v>
      </c>
      <c r="E16">
        <v>8</v>
      </c>
      <c r="F16">
        <v>16</v>
      </c>
      <c r="G16">
        <v>0</v>
      </c>
      <c r="H16">
        <v>0</v>
      </c>
      <c r="I16">
        <v>0</v>
      </c>
      <c r="J16">
        <v>2</v>
      </c>
      <c r="K16">
        <v>0</v>
      </c>
      <c r="L16" t="s">
        <v>77</v>
      </c>
      <c r="M16" t="s">
        <v>77</v>
      </c>
      <c r="N16">
        <f t="shared" si="8"/>
        <v>9</v>
      </c>
      <c r="O16">
        <f t="shared" si="9"/>
        <v>0</v>
      </c>
      <c r="P16">
        <v>9</v>
      </c>
      <c r="Q16">
        <v>11</v>
      </c>
      <c r="R16">
        <v>0</v>
      </c>
      <c r="S16">
        <v>0</v>
      </c>
      <c r="T16">
        <v>0</v>
      </c>
      <c r="U16">
        <v>2</v>
      </c>
      <c r="V16">
        <v>0</v>
      </c>
    </row>
    <row r="17" spans="1:28" ht="72" x14ac:dyDescent="0.3">
      <c r="A17" s="21" t="s">
        <v>43</v>
      </c>
      <c r="B17" s="31" t="s">
        <v>23</v>
      </c>
      <c r="C17">
        <f t="shared" si="0"/>
        <v>12</v>
      </c>
      <c r="D17">
        <f t="shared" si="1"/>
        <v>300</v>
      </c>
      <c r="E17">
        <v>12</v>
      </c>
      <c r="F17">
        <v>24</v>
      </c>
      <c r="G17">
        <v>150</v>
      </c>
      <c r="H17">
        <v>0</v>
      </c>
      <c r="I17">
        <v>150</v>
      </c>
      <c r="J17">
        <v>2</v>
      </c>
      <c r="K17">
        <v>3</v>
      </c>
      <c r="L17" t="s">
        <v>77</v>
      </c>
      <c r="M17" t="s">
        <v>77</v>
      </c>
      <c r="N17" t="str">
        <f t="shared" si="8"/>
        <v>Нет</v>
      </c>
      <c r="O17">
        <f t="shared" si="9"/>
        <v>0</v>
      </c>
      <c r="P17" t="s">
        <v>77</v>
      </c>
      <c r="Q17" t="s">
        <v>77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</row>
    <row r="18" spans="1:28" ht="43.2" x14ac:dyDescent="0.3">
      <c r="A18" s="21" t="s">
        <v>44</v>
      </c>
      <c r="B18" s="31" t="s">
        <v>23</v>
      </c>
      <c r="C18" t="str">
        <f t="shared" si="0"/>
        <v>Нет</v>
      </c>
      <c r="D18">
        <f t="shared" si="1"/>
        <v>0</v>
      </c>
      <c r="E18" t="s">
        <v>77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>
        <f t="shared" si="8"/>
        <v>116</v>
      </c>
      <c r="O18">
        <f t="shared" si="9"/>
        <v>450</v>
      </c>
      <c r="P18">
        <v>116</v>
      </c>
      <c r="Q18">
        <v>248</v>
      </c>
      <c r="R18">
        <v>450</v>
      </c>
      <c r="S18">
        <v>0</v>
      </c>
      <c r="T18">
        <v>0</v>
      </c>
      <c r="U18">
        <v>2</v>
      </c>
      <c r="V18">
        <v>9</v>
      </c>
    </row>
    <row r="19" spans="1:28" ht="43.2" x14ac:dyDescent="0.3">
      <c r="A19" s="21" t="s">
        <v>45</v>
      </c>
      <c r="B19" s="31" t="s">
        <v>23</v>
      </c>
      <c r="C19" t="str">
        <f t="shared" si="0"/>
        <v>Нет</v>
      </c>
      <c r="D19">
        <f t="shared" si="1"/>
        <v>0</v>
      </c>
      <c r="E19" t="s">
        <v>77</v>
      </c>
      <c r="F19" t="s">
        <v>77</v>
      </c>
      <c r="G19" t="s">
        <v>77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tr">
        <f t="shared" si="8"/>
        <v>Нет</v>
      </c>
      <c r="O19">
        <f t="shared" si="9"/>
        <v>0</v>
      </c>
      <c r="P19" t="s">
        <v>77</v>
      </c>
      <c r="Q19" t="s">
        <v>77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s="32" t="s">
        <v>82</v>
      </c>
    </row>
    <row r="20" spans="1:28" ht="43.2" x14ac:dyDescent="0.3">
      <c r="A20" s="21" t="s">
        <v>45</v>
      </c>
      <c r="B20" s="31" t="s">
        <v>23</v>
      </c>
      <c r="C20">
        <f t="shared" ref="C20" si="14">E20</f>
        <v>6</v>
      </c>
      <c r="D20">
        <f t="shared" ref="D20" si="15">SUM(G20:I20)</f>
        <v>0</v>
      </c>
      <c r="E20">
        <v>6</v>
      </c>
      <c r="F20">
        <v>10</v>
      </c>
      <c r="G20">
        <v>0</v>
      </c>
      <c r="H20">
        <v>0</v>
      </c>
      <c r="I20">
        <v>0</v>
      </c>
      <c r="J20">
        <v>2</v>
      </c>
      <c r="K20">
        <v>0</v>
      </c>
      <c r="L20" t="s">
        <v>77</v>
      </c>
      <c r="M20" t="s">
        <v>77</v>
      </c>
      <c r="N20" t="str">
        <f t="shared" ref="N20" si="16">P20</f>
        <v>Нет</v>
      </c>
      <c r="O20">
        <f t="shared" ref="O20" si="17">SUM(R20:T20)</f>
        <v>0</v>
      </c>
      <c r="P20" t="s">
        <v>77</v>
      </c>
      <c r="Q20" t="s">
        <v>77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s="32" t="s">
        <v>83</v>
      </c>
    </row>
    <row r="21" spans="1:28" ht="43.2" x14ac:dyDescent="0.3">
      <c r="A21" s="21" t="s">
        <v>45</v>
      </c>
      <c r="B21" s="31" t="s">
        <v>23</v>
      </c>
      <c r="C21">
        <f t="shared" ref="C21" si="18">E21</f>
        <v>6</v>
      </c>
      <c r="D21">
        <f t="shared" ref="D21" si="19">SUM(G21:I21)</f>
        <v>0</v>
      </c>
      <c r="E21">
        <v>6</v>
      </c>
      <c r="F21">
        <v>10</v>
      </c>
      <c r="G21">
        <v>0</v>
      </c>
      <c r="H21">
        <v>0</v>
      </c>
      <c r="I21">
        <v>0</v>
      </c>
      <c r="J21">
        <v>2</v>
      </c>
      <c r="K21">
        <v>0</v>
      </c>
      <c r="L21" t="s">
        <v>77</v>
      </c>
      <c r="M21" t="s">
        <v>77</v>
      </c>
      <c r="N21">
        <f t="shared" ref="N21" si="20">P21</f>
        <v>24</v>
      </c>
      <c r="O21">
        <f t="shared" ref="O21" si="21">SUM(R21:T21)</f>
        <v>0</v>
      </c>
      <c r="P21">
        <v>24</v>
      </c>
      <c r="Q21">
        <v>48</v>
      </c>
      <c r="R21">
        <v>0</v>
      </c>
      <c r="S21">
        <v>0</v>
      </c>
      <c r="T21">
        <v>0</v>
      </c>
      <c r="U21">
        <v>2</v>
      </c>
      <c r="V21">
        <v>0</v>
      </c>
      <c r="W21" s="32" t="s">
        <v>84</v>
      </c>
    </row>
    <row r="22" spans="1:28" ht="43.2" x14ac:dyDescent="0.3">
      <c r="A22" s="21" t="s">
        <v>45</v>
      </c>
      <c r="B22" s="31" t="s">
        <v>23</v>
      </c>
      <c r="C22" t="str">
        <f t="shared" ref="C22" si="22">E22</f>
        <v>Нет</v>
      </c>
      <c r="D22">
        <f t="shared" ref="D22" si="23">SUM(G22:I22)</f>
        <v>0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>
        <f t="shared" ref="N22" si="24">P22</f>
        <v>24</v>
      </c>
      <c r="O22">
        <f t="shared" ref="O22" si="25">SUM(R22:T22)</f>
        <v>0</v>
      </c>
      <c r="P22">
        <v>24</v>
      </c>
      <c r="Q22">
        <v>48</v>
      </c>
      <c r="R22">
        <v>0</v>
      </c>
      <c r="S22">
        <v>0</v>
      </c>
      <c r="T22">
        <v>0</v>
      </c>
      <c r="U22">
        <v>2</v>
      </c>
      <c r="V22">
        <v>0</v>
      </c>
      <c r="W22" s="32" t="s">
        <v>85</v>
      </c>
    </row>
    <row r="23" spans="1:28" ht="43.2" x14ac:dyDescent="0.3">
      <c r="A23" s="21" t="s">
        <v>45</v>
      </c>
      <c r="B23" s="31" t="s">
        <v>23</v>
      </c>
      <c r="C23">
        <f t="shared" ref="C23" si="26">E23</f>
        <v>4</v>
      </c>
      <c r="D23">
        <f t="shared" ref="D23" si="27">SUM(G23:I23)</f>
        <v>0</v>
      </c>
      <c r="E23">
        <v>4</v>
      </c>
      <c r="F23">
        <v>8</v>
      </c>
      <c r="G23">
        <v>0</v>
      </c>
      <c r="H23">
        <v>0</v>
      </c>
      <c r="I23">
        <v>0</v>
      </c>
      <c r="J23">
        <v>2</v>
      </c>
      <c r="K23">
        <v>0</v>
      </c>
      <c r="L23" t="s">
        <v>77</v>
      </c>
      <c r="M23" t="s">
        <v>77</v>
      </c>
      <c r="N23" t="str">
        <f t="shared" ref="N23" si="28">P23</f>
        <v>Нет</v>
      </c>
      <c r="O23">
        <f t="shared" ref="O23" si="29">SUM(R23:T23)</f>
        <v>0</v>
      </c>
      <c r="P23" t="s">
        <v>77</v>
      </c>
      <c r="Q23" t="s">
        <v>77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s="32" t="s">
        <v>86</v>
      </c>
    </row>
    <row r="24" spans="1:28" ht="43.2" x14ac:dyDescent="0.3">
      <c r="A24" s="21" t="s">
        <v>45</v>
      </c>
      <c r="B24" s="31" t="s">
        <v>23</v>
      </c>
      <c r="C24" t="str">
        <f t="shared" ref="C24:C26" si="30">E24</f>
        <v>Нет</v>
      </c>
      <c r="D24">
        <f t="shared" ref="D24:D26" si="31">SUM(G24:I24)</f>
        <v>0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>
        <f t="shared" ref="N24" si="32">P24</f>
        <v>12</v>
      </c>
      <c r="O24">
        <f t="shared" ref="O24" si="33">SUM(R24:T24)</f>
        <v>0</v>
      </c>
      <c r="P24">
        <v>12</v>
      </c>
      <c r="Q24">
        <v>12</v>
      </c>
      <c r="R24">
        <v>0</v>
      </c>
      <c r="S24">
        <v>0</v>
      </c>
      <c r="T24">
        <v>0</v>
      </c>
      <c r="U24">
        <v>2</v>
      </c>
      <c r="V24">
        <v>0</v>
      </c>
      <c r="W24" s="32" t="s">
        <v>87</v>
      </c>
    </row>
    <row r="25" spans="1:28" ht="43.2" x14ac:dyDescent="0.3">
      <c r="A25" s="21" t="s">
        <v>45</v>
      </c>
      <c r="B25" s="31" t="s">
        <v>23</v>
      </c>
      <c r="C25">
        <f t="shared" si="30"/>
        <v>12</v>
      </c>
      <c r="D25">
        <f t="shared" si="31"/>
        <v>0</v>
      </c>
      <c r="E25">
        <v>12</v>
      </c>
      <c r="F25">
        <v>24</v>
      </c>
      <c r="G25">
        <v>0</v>
      </c>
      <c r="H25">
        <v>0</v>
      </c>
      <c r="I25">
        <v>0</v>
      </c>
      <c r="J25">
        <v>2</v>
      </c>
      <c r="K25">
        <v>0</v>
      </c>
      <c r="L25" t="s">
        <v>77</v>
      </c>
      <c r="M25" t="s">
        <v>77</v>
      </c>
      <c r="N25" t="str">
        <f t="shared" ref="N25" si="34">P25</f>
        <v>Нет</v>
      </c>
      <c r="O25">
        <f t="shared" ref="O25" si="35">SUM(R25:T25)</f>
        <v>0</v>
      </c>
      <c r="P25" t="s">
        <v>77</v>
      </c>
      <c r="Q25" t="s">
        <v>77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s="32" t="s">
        <v>88</v>
      </c>
    </row>
    <row r="26" spans="1:28" ht="43.2" x14ac:dyDescent="0.3">
      <c r="A26" s="21" t="s">
        <v>45</v>
      </c>
      <c r="B26" s="31" t="s">
        <v>23</v>
      </c>
      <c r="C26">
        <f t="shared" si="30"/>
        <v>20</v>
      </c>
      <c r="D26">
        <f t="shared" si="31"/>
        <v>0</v>
      </c>
      <c r="E26">
        <v>20</v>
      </c>
      <c r="F26">
        <v>20</v>
      </c>
      <c r="G26">
        <v>0</v>
      </c>
      <c r="H26">
        <v>0</v>
      </c>
      <c r="I26">
        <v>0</v>
      </c>
      <c r="J26">
        <v>2</v>
      </c>
      <c r="K26">
        <v>0</v>
      </c>
      <c r="L26" t="s">
        <v>77</v>
      </c>
      <c r="M26" t="s">
        <v>77</v>
      </c>
      <c r="N26" t="str">
        <f t="shared" ref="N26" si="36">P26</f>
        <v>Нет</v>
      </c>
      <c r="O26">
        <f t="shared" ref="O26" si="37">SUM(R26:T26)</f>
        <v>0</v>
      </c>
      <c r="P26" t="s">
        <v>77</v>
      </c>
      <c r="Q26" t="s">
        <v>77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s="32" t="s">
        <v>89</v>
      </c>
    </row>
    <row r="27" spans="1:28" ht="43.2" x14ac:dyDescent="0.3">
      <c r="A27" s="21" t="s">
        <v>45</v>
      </c>
      <c r="B27" s="31" t="s">
        <v>23</v>
      </c>
      <c r="C27" t="str">
        <f t="shared" ref="C27" si="38">E27</f>
        <v>Нет</v>
      </c>
      <c r="D27">
        <f t="shared" ref="D27" si="39">SUM(G27:I27)</f>
        <v>0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>
        <f t="shared" ref="N27:N28" si="40">P27</f>
        <v>12</v>
      </c>
      <c r="O27">
        <f t="shared" ref="O27:O28" si="41">SUM(R27:T27)</f>
        <v>0</v>
      </c>
      <c r="P27">
        <v>12</v>
      </c>
      <c r="Q27">
        <v>12</v>
      </c>
      <c r="R27">
        <v>0</v>
      </c>
      <c r="S27">
        <v>0</v>
      </c>
      <c r="T27">
        <v>0</v>
      </c>
      <c r="U27">
        <v>2</v>
      </c>
      <c r="V27">
        <v>0</v>
      </c>
      <c r="W27" s="32" t="s">
        <v>90</v>
      </c>
    </row>
    <row r="28" spans="1:28" ht="43.2" x14ac:dyDescent="0.3">
      <c r="A28" s="21" t="s">
        <v>45</v>
      </c>
      <c r="B28" s="31" t="s">
        <v>23</v>
      </c>
      <c r="C28" t="str">
        <f t="shared" ref="C28:C30" si="42">E28</f>
        <v>Нет</v>
      </c>
      <c r="D28">
        <f t="shared" ref="D28:D30" si="43">SUM(G28:I28)</f>
        <v>0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>
        <f t="shared" si="40"/>
        <v>48</v>
      </c>
      <c r="O28">
        <f t="shared" si="41"/>
        <v>50</v>
      </c>
      <c r="P28">
        <v>48</v>
      </c>
      <c r="Q28">
        <v>50</v>
      </c>
      <c r="R28">
        <v>0</v>
      </c>
      <c r="S28">
        <v>0</v>
      </c>
      <c r="T28">
        <v>50</v>
      </c>
      <c r="U28">
        <v>2</v>
      </c>
      <c r="V28">
        <v>6</v>
      </c>
      <c r="W28" s="32" t="s">
        <v>91</v>
      </c>
      <c r="AB28" s="32"/>
    </row>
    <row r="29" spans="1:28" ht="43.2" x14ac:dyDescent="0.3">
      <c r="A29" s="21" t="s">
        <v>45</v>
      </c>
      <c r="B29" s="31" t="s">
        <v>23</v>
      </c>
      <c r="C29">
        <f t="shared" ref="C29" si="44">E29</f>
        <v>80</v>
      </c>
      <c r="D29">
        <f t="shared" ref="D29" si="45">SUM(G29:I29)</f>
        <v>1000</v>
      </c>
      <c r="E29">
        <v>80</v>
      </c>
      <c r="F29">
        <v>196</v>
      </c>
      <c r="G29">
        <v>600</v>
      </c>
      <c r="H29">
        <v>0</v>
      </c>
      <c r="I29">
        <v>400</v>
      </c>
      <c r="J29">
        <v>2</v>
      </c>
      <c r="K29">
        <v>6</v>
      </c>
      <c r="L29" t="s">
        <v>77</v>
      </c>
      <c r="M29" t="s">
        <v>77</v>
      </c>
      <c r="N29" t="str">
        <f t="shared" ref="N29" si="46">P29</f>
        <v>Нет</v>
      </c>
      <c r="O29">
        <f t="shared" ref="O29" si="47">SUM(R29:T29)</f>
        <v>0</v>
      </c>
      <c r="P29" t="s">
        <v>77</v>
      </c>
      <c r="Q29" t="s">
        <v>77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s="32" t="s">
        <v>92</v>
      </c>
      <c r="AB29" s="32"/>
    </row>
    <row r="30" spans="1:28" ht="28.8" x14ac:dyDescent="0.3">
      <c r="A30" s="21" t="s">
        <v>22</v>
      </c>
      <c r="B30" s="31" t="s">
        <v>23</v>
      </c>
      <c r="C30">
        <f t="shared" si="42"/>
        <v>14</v>
      </c>
      <c r="D30">
        <f t="shared" si="43"/>
        <v>350</v>
      </c>
      <c r="E30">
        <v>14</v>
      </c>
      <c r="F30">
        <v>32</v>
      </c>
      <c r="G30">
        <v>0</v>
      </c>
      <c r="H30">
        <v>0</v>
      </c>
      <c r="I30">
        <v>350</v>
      </c>
      <c r="J30">
        <v>2</v>
      </c>
      <c r="K30">
        <v>7</v>
      </c>
      <c r="L30" t="s">
        <v>77</v>
      </c>
      <c r="M30" t="s">
        <v>77</v>
      </c>
      <c r="N30">
        <f t="shared" si="8"/>
        <v>133</v>
      </c>
      <c r="O30">
        <f t="shared" si="9"/>
        <v>2250</v>
      </c>
      <c r="P30">
        <v>133</v>
      </c>
      <c r="Q30">
        <v>359</v>
      </c>
      <c r="R30">
        <v>1100</v>
      </c>
      <c r="S30">
        <v>0</v>
      </c>
      <c r="T30">
        <v>1150</v>
      </c>
      <c r="U30">
        <v>2</v>
      </c>
      <c r="V30">
        <v>23</v>
      </c>
    </row>
    <row r="31" spans="1:28" ht="43.2" x14ac:dyDescent="0.3">
      <c r="A31" s="21" t="s">
        <v>28</v>
      </c>
      <c r="B31" s="31" t="s">
        <v>23</v>
      </c>
      <c r="C31">
        <f t="shared" si="0"/>
        <v>8</v>
      </c>
      <c r="D31">
        <f t="shared" si="1"/>
        <v>300</v>
      </c>
      <c r="E31">
        <v>8</v>
      </c>
      <c r="F31">
        <v>16</v>
      </c>
      <c r="G31">
        <v>200</v>
      </c>
      <c r="H31">
        <v>0</v>
      </c>
      <c r="I31">
        <v>100</v>
      </c>
      <c r="J31">
        <v>2</v>
      </c>
      <c r="K31">
        <v>2</v>
      </c>
      <c r="L31">
        <v>4</v>
      </c>
      <c r="M31">
        <v>8</v>
      </c>
      <c r="N31">
        <f t="shared" si="8"/>
        <v>60</v>
      </c>
      <c r="O31">
        <f t="shared" si="9"/>
        <v>8200</v>
      </c>
      <c r="P31">
        <v>60</v>
      </c>
      <c r="Q31">
        <v>188</v>
      </c>
      <c r="R31">
        <v>7500</v>
      </c>
      <c r="S31">
        <v>0</v>
      </c>
      <c r="T31">
        <v>700</v>
      </c>
      <c r="U31">
        <v>2</v>
      </c>
      <c r="V31">
        <v>14</v>
      </c>
    </row>
    <row r="32" spans="1:28" ht="28.8" x14ac:dyDescent="0.3">
      <c r="A32" s="21" t="s">
        <v>29</v>
      </c>
      <c r="B32" s="31" t="s">
        <v>23</v>
      </c>
      <c r="C32">
        <f t="shared" si="0"/>
        <v>8</v>
      </c>
      <c r="D32">
        <f t="shared" si="1"/>
        <v>100</v>
      </c>
      <c r="E32">
        <v>8</v>
      </c>
      <c r="F32">
        <v>8</v>
      </c>
      <c r="G32">
        <v>0</v>
      </c>
      <c r="H32">
        <v>0</v>
      </c>
      <c r="I32">
        <v>100</v>
      </c>
      <c r="J32">
        <v>2</v>
      </c>
      <c r="K32">
        <v>2</v>
      </c>
      <c r="L32">
        <v>4</v>
      </c>
      <c r="M32">
        <v>8</v>
      </c>
      <c r="N32">
        <f t="shared" si="8"/>
        <v>130</v>
      </c>
      <c r="O32">
        <f t="shared" si="9"/>
        <v>6500</v>
      </c>
      <c r="P32">
        <v>130</v>
      </c>
      <c r="Q32">
        <v>336</v>
      </c>
      <c r="R32">
        <v>5050</v>
      </c>
      <c r="S32">
        <v>450</v>
      </c>
      <c r="T32">
        <v>1000</v>
      </c>
      <c r="U32">
        <v>2</v>
      </c>
      <c r="V32">
        <v>13</v>
      </c>
    </row>
    <row r="33" spans="1:23" ht="43.2" x14ac:dyDescent="0.3">
      <c r="A33" s="21" t="s">
        <v>30</v>
      </c>
      <c r="B33" s="31" t="s">
        <v>23</v>
      </c>
      <c r="C33">
        <f t="shared" si="0"/>
        <v>25</v>
      </c>
      <c r="D33">
        <f t="shared" si="1"/>
        <v>600</v>
      </c>
      <c r="E33">
        <v>25</v>
      </c>
      <c r="F33">
        <v>37</v>
      </c>
      <c r="G33">
        <v>350</v>
      </c>
      <c r="H33">
        <v>0</v>
      </c>
      <c r="I33">
        <v>250</v>
      </c>
      <c r="J33">
        <v>2</v>
      </c>
      <c r="K33">
        <v>5</v>
      </c>
      <c r="L33">
        <v>2</v>
      </c>
      <c r="M33">
        <v>2</v>
      </c>
      <c r="N33">
        <f t="shared" si="8"/>
        <v>91</v>
      </c>
      <c r="O33">
        <f t="shared" si="9"/>
        <v>7800</v>
      </c>
      <c r="P33">
        <v>91</v>
      </c>
      <c r="Q33">
        <v>241</v>
      </c>
      <c r="R33">
        <v>6750</v>
      </c>
      <c r="S33">
        <v>0</v>
      </c>
      <c r="T33">
        <v>1050</v>
      </c>
      <c r="U33">
        <v>2</v>
      </c>
      <c r="V33">
        <v>18</v>
      </c>
    </row>
    <row r="34" spans="1:23" ht="57.6" x14ac:dyDescent="0.3">
      <c r="A34" s="21" t="s">
        <v>46</v>
      </c>
      <c r="B34" s="31" t="s">
        <v>23</v>
      </c>
      <c r="C34" t="str">
        <f t="shared" si="0"/>
        <v>Нет</v>
      </c>
      <c r="D34">
        <f t="shared" si="1"/>
        <v>0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tr">
        <f t="shared" si="8"/>
        <v>Нет</v>
      </c>
      <c r="O34">
        <f t="shared" si="9"/>
        <v>0</v>
      </c>
      <c r="P34" t="s">
        <v>77</v>
      </c>
      <c r="Q34" t="s">
        <v>77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</row>
    <row r="35" spans="1:23" ht="100.8" x14ac:dyDescent="0.3">
      <c r="A35" s="21" t="s">
        <v>47</v>
      </c>
      <c r="B35" s="31" t="s">
        <v>23</v>
      </c>
      <c r="C35">
        <f t="shared" si="0"/>
        <v>0</v>
      </c>
      <c r="D35">
        <f t="shared" si="1"/>
        <v>0</v>
      </c>
      <c r="N35">
        <f t="shared" si="8"/>
        <v>0</v>
      </c>
      <c r="O35">
        <f t="shared" si="9"/>
        <v>0</v>
      </c>
    </row>
    <row r="36" spans="1:23" ht="72" x14ac:dyDescent="0.3">
      <c r="A36" s="21" t="s">
        <v>48</v>
      </c>
      <c r="B36" s="31" t="s">
        <v>23</v>
      </c>
      <c r="C36">
        <f t="shared" si="0"/>
        <v>4</v>
      </c>
      <c r="D36">
        <f t="shared" si="1"/>
        <v>0</v>
      </c>
      <c r="E36">
        <v>4</v>
      </c>
      <c r="F36">
        <v>8</v>
      </c>
      <c r="G36">
        <v>0</v>
      </c>
      <c r="H36">
        <v>0</v>
      </c>
      <c r="I36">
        <v>0</v>
      </c>
      <c r="J36">
        <v>2</v>
      </c>
      <c r="K36">
        <v>0</v>
      </c>
      <c r="L36" t="s">
        <v>77</v>
      </c>
      <c r="M36" t="s">
        <v>77</v>
      </c>
      <c r="N36" t="str">
        <f t="shared" si="8"/>
        <v>Нет</v>
      </c>
      <c r="O36">
        <f t="shared" si="9"/>
        <v>0</v>
      </c>
      <c r="P36" t="s">
        <v>77</v>
      </c>
      <c r="Q36" t="s">
        <v>77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</row>
    <row r="37" spans="1:23" ht="43.2" x14ac:dyDescent="0.3">
      <c r="A37" s="21" t="s">
        <v>49</v>
      </c>
      <c r="B37" s="31" t="s">
        <v>23</v>
      </c>
      <c r="C37" t="str">
        <f t="shared" si="0"/>
        <v>Нет</v>
      </c>
      <c r="D37">
        <f t="shared" si="1"/>
        <v>0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>
        <f t="shared" si="8"/>
        <v>46</v>
      </c>
      <c r="O37">
        <f t="shared" si="9"/>
        <v>3203</v>
      </c>
      <c r="P37">
        <v>46</v>
      </c>
      <c r="Q37">
        <v>92</v>
      </c>
      <c r="R37">
        <v>300</v>
      </c>
      <c r="S37">
        <v>2253</v>
      </c>
      <c r="T37">
        <v>650</v>
      </c>
      <c r="U37">
        <v>2</v>
      </c>
      <c r="V37">
        <v>9</v>
      </c>
      <c r="W37" t="s">
        <v>73</v>
      </c>
    </row>
    <row r="38" spans="1:23" ht="43.2" x14ac:dyDescent="0.3">
      <c r="A38" s="21" t="s">
        <v>50</v>
      </c>
      <c r="B38" s="31" t="s">
        <v>23</v>
      </c>
      <c r="C38" t="str">
        <f t="shared" si="0"/>
        <v>Нет</v>
      </c>
      <c r="D38">
        <f t="shared" si="1"/>
        <v>0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  <c r="N38">
        <f t="shared" si="8"/>
        <v>46</v>
      </c>
      <c r="O38">
        <f t="shared" si="9"/>
        <v>3203</v>
      </c>
      <c r="P38">
        <v>46</v>
      </c>
      <c r="Q38">
        <v>92</v>
      </c>
      <c r="R38">
        <v>300</v>
      </c>
      <c r="S38">
        <v>2253</v>
      </c>
      <c r="T38">
        <v>650</v>
      </c>
      <c r="U38">
        <v>2</v>
      </c>
      <c r="V38">
        <v>9</v>
      </c>
      <c r="W38" t="s">
        <v>73</v>
      </c>
    </row>
    <row r="39" spans="1:23" ht="43.2" x14ac:dyDescent="0.3">
      <c r="A39" s="21" t="s">
        <v>51</v>
      </c>
      <c r="B39" s="31" t="s">
        <v>23</v>
      </c>
      <c r="C39" t="str">
        <f t="shared" si="0"/>
        <v>Нет</v>
      </c>
      <c r="D39">
        <f t="shared" si="1"/>
        <v>0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>
        <f t="shared" si="8"/>
        <v>46</v>
      </c>
      <c r="O39">
        <f t="shared" si="9"/>
        <v>3203</v>
      </c>
      <c r="P39">
        <v>46</v>
      </c>
      <c r="Q39">
        <v>92</v>
      </c>
      <c r="R39">
        <v>300</v>
      </c>
      <c r="S39">
        <v>2253</v>
      </c>
      <c r="T39">
        <v>650</v>
      </c>
      <c r="U39">
        <v>2</v>
      </c>
      <c r="V39">
        <v>9</v>
      </c>
      <c r="W39" t="s">
        <v>73</v>
      </c>
    </row>
    <row r="40" spans="1:23" ht="43.2" x14ac:dyDescent="0.3">
      <c r="A40" s="21" t="s">
        <v>52</v>
      </c>
      <c r="B40" s="31" t="s">
        <v>23</v>
      </c>
      <c r="C40" t="str">
        <f t="shared" si="0"/>
        <v>Нет</v>
      </c>
      <c r="D40">
        <f t="shared" si="1"/>
        <v>0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>
        <f t="shared" si="8"/>
        <v>46</v>
      </c>
      <c r="O40">
        <f t="shared" si="9"/>
        <v>3203</v>
      </c>
      <c r="P40">
        <v>46</v>
      </c>
      <c r="Q40">
        <v>92</v>
      </c>
      <c r="R40">
        <v>300</v>
      </c>
      <c r="S40">
        <v>2253</v>
      </c>
      <c r="T40">
        <v>650</v>
      </c>
      <c r="U40">
        <v>2</v>
      </c>
      <c r="V40">
        <v>9</v>
      </c>
      <c r="W40" t="s">
        <v>73</v>
      </c>
    </row>
    <row r="41" spans="1:23" ht="43.2" x14ac:dyDescent="0.3">
      <c r="A41" s="21" t="s">
        <v>53</v>
      </c>
      <c r="B41" s="31" t="s">
        <v>23</v>
      </c>
      <c r="C41" t="str">
        <f t="shared" si="0"/>
        <v>Нет</v>
      </c>
      <c r="D41">
        <f t="shared" si="1"/>
        <v>0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>
        <f t="shared" si="8"/>
        <v>46</v>
      </c>
      <c r="O41">
        <f t="shared" si="9"/>
        <v>3203</v>
      </c>
      <c r="P41">
        <v>46</v>
      </c>
      <c r="Q41">
        <v>92</v>
      </c>
      <c r="R41">
        <v>300</v>
      </c>
      <c r="S41">
        <v>2253</v>
      </c>
      <c r="T41">
        <v>650</v>
      </c>
      <c r="U41">
        <v>2</v>
      </c>
      <c r="V41">
        <v>9</v>
      </c>
      <c r="W41" t="s">
        <v>73</v>
      </c>
    </row>
    <row r="42" spans="1:23" ht="57.6" x14ac:dyDescent="0.3">
      <c r="A42" s="21" t="s">
        <v>31</v>
      </c>
      <c r="B42" s="31" t="s">
        <v>23</v>
      </c>
      <c r="C42" t="str">
        <f t="shared" si="0"/>
        <v>Нет</v>
      </c>
      <c r="D42">
        <f t="shared" si="1"/>
        <v>0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>
        <f t="shared" si="8"/>
        <v>12</v>
      </c>
      <c r="O42">
        <f t="shared" si="9"/>
        <v>1600</v>
      </c>
      <c r="P42">
        <v>12</v>
      </c>
      <c r="Q42">
        <v>20</v>
      </c>
      <c r="R42">
        <v>0</v>
      </c>
      <c r="S42">
        <v>1400</v>
      </c>
      <c r="T42">
        <v>200</v>
      </c>
      <c r="U42">
        <v>2</v>
      </c>
      <c r="V42">
        <v>3</v>
      </c>
      <c r="W42" t="s">
        <v>74</v>
      </c>
    </row>
    <row r="43" spans="1:23" ht="86.4" x14ac:dyDescent="0.3">
      <c r="A43" s="21" t="s">
        <v>32</v>
      </c>
      <c r="B43" s="31" t="s">
        <v>23</v>
      </c>
      <c r="C43" t="str">
        <f t="shared" si="0"/>
        <v>Нет</v>
      </c>
      <c r="D43">
        <f t="shared" si="1"/>
        <v>0</v>
      </c>
      <c r="E43" t="s">
        <v>77</v>
      </c>
      <c r="F43" t="s">
        <v>77</v>
      </c>
      <c r="G43" t="s">
        <v>77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  <c r="N43">
        <f t="shared" si="8"/>
        <v>46</v>
      </c>
      <c r="O43">
        <f t="shared" si="9"/>
        <v>3203</v>
      </c>
      <c r="P43">
        <v>46</v>
      </c>
      <c r="Q43">
        <v>92</v>
      </c>
      <c r="R43">
        <v>300</v>
      </c>
      <c r="S43">
        <v>2253</v>
      </c>
      <c r="T43">
        <v>650</v>
      </c>
      <c r="U43">
        <v>2</v>
      </c>
      <c r="V43">
        <v>9</v>
      </c>
      <c r="W43" t="s">
        <v>73</v>
      </c>
    </row>
    <row r="44" spans="1:23" ht="43.2" x14ac:dyDescent="0.3">
      <c r="A44" s="21" t="s">
        <v>54</v>
      </c>
      <c r="B44" s="31" t="s">
        <v>23</v>
      </c>
      <c r="C44" t="str">
        <f t="shared" si="0"/>
        <v>Нет</v>
      </c>
      <c r="D44">
        <f t="shared" si="1"/>
        <v>0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>
        <f t="shared" si="8"/>
        <v>34</v>
      </c>
      <c r="O44">
        <f t="shared" si="9"/>
        <v>900</v>
      </c>
      <c r="P44">
        <v>34</v>
      </c>
      <c r="Q44">
        <v>68</v>
      </c>
      <c r="R44">
        <v>50</v>
      </c>
      <c r="S44">
        <v>600</v>
      </c>
      <c r="T44">
        <v>250</v>
      </c>
      <c r="U44">
        <v>2</v>
      </c>
      <c r="V44">
        <v>5</v>
      </c>
      <c r="W44" t="s">
        <v>75</v>
      </c>
    </row>
    <row r="45" spans="1:23" ht="86.4" x14ac:dyDescent="0.3">
      <c r="A45" s="21" t="s">
        <v>55</v>
      </c>
      <c r="B45" s="31" t="s">
        <v>23</v>
      </c>
      <c r="C45" t="str">
        <f t="shared" si="0"/>
        <v>Нет</v>
      </c>
      <c r="D45">
        <f t="shared" si="1"/>
        <v>0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>
        <f t="shared" si="8"/>
        <v>46</v>
      </c>
      <c r="O45">
        <f t="shared" si="9"/>
        <v>2100</v>
      </c>
      <c r="P45">
        <v>46</v>
      </c>
      <c r="Q45">
        <v>148</v>
      </c>
      <c r="R45">
        <v>200</v>
      </c>
      <c r="S45">
        <v>1100</v>
      </c>
      <c r="T45">
        <v>800</v>
      </c>
      <c r="U45">
        <v>2</v>
      </c>
      <c r="V45">
        <v>16</v>
      </c>
      <c r="W45" t="s">
        <v>75</v>
      </c>
    </row>
    <row r="46" spans="1:23" ht="43.2" x14ac:dyDescent="0.3">
      <c r="A46" s="21" t="s">
        <v>56</v>
      </c>
      <c r="B46" s="31" t="s">
        <v>23</v>
      </c>
      <c r="C46" t="str">
        <f t="shared" si="0"/>
        <v>Нет</v>
      </c>
      <c r="D46">
        <f t="shared" si="1"/>
        <v>0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>
        <f t="shared" si="8"/>
        <v>8</v>
      </c>
      <c r="O46">
        <f t="shared" si="9"/>
        <v>550</v>
      </c>
      <c r="P46">
        <v>8</v>
      </c>
      <c r="Q46">
        <v>16</v>
      </c>
      <c r="R46">
        <v>0</v>
      </c>
      <c r="S46">
        <v>400</v>
      </c>
      <c r="T46">
        <v>150</v>
      </c>
      <c r="U46">
        <v>2</v>
      </c>
      <c r="V46">
        <v>2</v>
      </c>
      <c r="W46" t="s">
        <v>75</v>
      </c>
    </row>
    <row r="47" spans="1:23" ht="57.6" x14ac:dyDescent="0.3">
      <c r="A47" s="21" t="s">
        <v>57</v>
      </c>
      <c r="B47" s="31" t="s">
        <v>23</v>
      </c>
      <c r="C47" t="str">
        <f t="shared" si="0"/>
        <v>Нет</v>
      </c>
      <c r="D47">
        <f t="shared" si="1"/>
        <v>0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>
        <f t="shared" si="8"/>
        <v>68</v>
      </c>
      <c r="O47">
        <f t="shared" si="9"/>
        <v>1600</v>
      </c>
      <c r="P47">
        <v>68</v>
      </c>
      <c r="Q47">
        <v>136</v>
      </c>
      <c r="R47">
        <v>400</v>
      </c>
      <c r="S47">
        <v>700</v>
      </c>
      <c r="T47">
        <v>500</v>
      </c>
      <c r="U47">
        <v>2</v>
      </c>
      <c r="V47">
        <v>10</v>
      </c>
      <c r="W47" t="s">
        <v>75</v>
      </c>
    </row>
    <row r="48" spans="1:23" ht="43.2" x14ac:dyDescent="0.3">
      <c r="A48" s="21" t="s">
        <v>33</v>
      </c>
      <c r="B48" s="31" t="s">
        <v>23</v>
      </c>
      <c r="C48">
        <f t="shared" si="0"/>
        <v>8</v>
      </c>
      <c r="D48">
        <f t="shared" si="1"/>
        <v>500</v>
      </c>
      <c r="E48">
        <v>8</v>
      </c>
      <c r="F48">
        <v>16</v>
      </c>
      <c r="G48">
        <v>0</v>
      </c>
      <c r="H48">
        <v>400</v>
      </c>
      <c r="I48">
        <v>100</v>
      </c>
      <c r="J48">
        <v>2</v>
      </c>
      <c r="K48">
        <v>2</v>
      </c>
      <c r="N48">
        <f t="shared" si="8"/>
        <v>8</v>
      </c>
      <c r="O48">
        <f t="shared" si="9"/>
        <v>550</v>
      </c>
      <c r="P48">
        <v>8</v>
      </c>
      <c r="Q48">
        <v>16</v>
      </c>
      <c r="R48">
        <v>0</v>
      </c>
      <c r="S48">
        <v>400</v>
      </c>
      <c r="T48">
        <v>150</v>
      </c>
      <c r="U48">
        <v>2</v>
      </c>
      <c r="V48">
        <v>2</v>
      </c>
      <c r="W48" t="s">
        <v>76</v>
      </c>
    </row>
    <row r="49" spans="1:23" ht="72.599999999999994" thickBot="1" x14ac:dyDescent="0.35">
      <c r="A49" s="25" t="s">
        <v>58</v>
      </c>
      <c r="B49" s="31" t="s">
        <v>23</v>
      </c>
      <c r="C49" t="str">
        <f t="shared" si="0"/>
        <v>Нет</v>
      </c>
      <c r="D49">
        <f t="shared" si="1"/>
        <v>0</v>
      </c>
      <c r="E49" t="s">
        <v>77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  <c r="N49">
        <f>P49</f>
        <v>40</v>
      </c>
      <c r="O49">
        <f>SUM(R49:T49)</f>
        <v>2800</v>
      </c>
      <c r="P49">
        <v>40</v>
      </c>
      <c r="Q49">
        <v>80</v>
      </c>
      <c r="R49">
        <v>450</v>
      </c>
      <c r="S49">
        <v>1600</v>
      </c>
      <c r="T49">
        <v>750</v>
      </c>
      <c r="U49">
        <v>2</v>
      </c>
      <c r="V49">
        <v>15</v>
      </c>
      <c r="W49" t="s">
        <v>75</v>
      </c>
    </row>
  </sheetData>
  <mergeCells count="10">
    <mergeCell ref="P2:V2"/>
    <mergeCell ref="C1:K1"/>
    <mergeCell ref="N1:V1"/>
    <mergeCell ref="A2:A3"/>
    <mergeCell ref="B2:B3"/>
    <mergeCell ref="L2:M2"/>
    <mergeCell ref="L1:M1"/>
    <mergeCell ref="C2:D2"/>
    <mergeCell ref="E2:K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topLeftCell="A41" workbookViewId="0">
      <selection activeCell="A57" sqref="A57"/>
    </sheetView>
  </sheetViews>
  <sheetFormatPr defaultRowHeight="14.4" x14ac:dyDescent="0.3"/>
  <cols>
    <col min="1" max="1" width="34.88671875" customWidth="1"/>
    <col min="2" max="2" width="12.44140625" customWidth="1"/>
  </cols>
  <sheetData>
    <row r="1" spans="1:10" ht="205.2" x14ac:dyDescent="0.3">
      <c r="A1" s="33" t="s">
        <v>59</v>
      </c>
      <c r="B1" s="33" t="s">
        <v>60</v>
      </c>
      <c r="C1" s="30" t="s">
        <v>63</v>
      </c>
      <c r="D1" s="30" t="s">
        <v>65</v>
      </c>
      <c r="E1" s="30" t="s">
        <v>66</v>
      </c>
      <c r="F1" s="30" t="s">
        <v>67</v>
      </c>
      <c r="G1" s="30" t="s">
        <v>68</v>
      </c>
      <c r="H1" s="30" t="s">
        <v>69</v>
      </c>
      <c r="I1" s="30" t="s">
        <v>21</v>
      </c>
      <c r="J1" s="34" t="s">
        <v>93</v>
      </c>
    </row>
    <row r="2" spans="1:10" ht="28.8" x14ac:dyDescent="0.3">
      <c r="A2" s="21" t="s">
        <v>96</v>
      </c>
      <c r="B2" s="31" t="s">
        <v>23</v>
      </c>
      <c r="C2" s="18">
        <v>10</v>
      </c>
      <c r="D2" s="18">
        <v>20</v>
      </c>
      <c r="E2" s="18">
        <v>200</v>
      </c>
      <c r="F2" s="18">
        <v>0</v>
      </c>
      <c r="G2" s="18">
        <v>150</v>
      </c>
      <c r="H2" s="18">
        <v>2</v>
      </c>
      <c r="I2" s="18">
        <v>3</v>
      </c>
    </row>
    <row r="3" spans="1:10" ht="28.8" x14ac:dyDescent="0.3">
      <c r="A3" s="21" t="s">
        <v>96</v>
      </c>
      <c r="B3" s="31" t="s">
        <v>81</v>
      </c>
      <c r="C3" s="18">
        <v>10</v>
      </c>
      <c r="D3" s="18">
        <v>20</v>
      </c>
      <c r="E3" s="18">
        <v>200</v>
      </c>
      <c r="F3" s="18">
        <v>0</v>
      </c>
      <c r="G3" s="18">
        <v>150</v>
      </c>
      <c r="H3" s="18">
        <v>2</v>
      </c>
      <c r="I3" s="18">
        <v>3</v>
      </c>
    </row>
    <row r="4" spans="1:10" ht="28.8" x14ac:dyDescent="0.3">
      <c r="A4" s="21" t="s">
        <v>35</v>
      </c>
      <c r="B4" s="31" t="s">
        <v>23</v>
      </c>
      <c r="C4" s="18">
        <v>62</v>
      </c>
      <c r="D4" s="18">
        <v>188</v>
      </c>
      <c r="E4" s="18">
        <v>150</v>
      </c>
      <c r="F4" s="18">
        <v>1250</v>
      </c>
      <c r="G4" s="18">
        <v>500</v>
      </c>
      <c r="H4" s="18">
        <v>2</v>
      </c>
      <c r="I4" s="18">
        <v>10</v>
      </c>
    </row>
    <row r="5" spans="1:10" ht="28.8" x14ac:dyDescent="0.3">
      <c r="A5" s="21" t="s">
        <v>97</v>
      </c>
      <c r="B5" s="31" t="s">
        <v>23</v>
      </c>
      <c r="C5" s="18">
        <v>12</v>
      </c>
      <c r="D5" s="18">
        <v>24</v>
      </c>
      <c r="E5" s="18">
        <v>150</v>
      </c>
      <c r="F5" s="18">
        <v>0</v>
      </c>
      <c r="G5" s="18">
        <v>150</v>
      </c>
      <c r="H5" s="18">
        <v>2</v>
      </c>
      <c r="I5" s="18">
        <v>3</v>
      </c>
    </row>
    <row r="6" spans="1:10" ht="28.8" x14ac:dyDescent="0.3">
      <c r="A6" s="21" t="s">
        <v>98</v>
      </c>
      <c r="B6" s="31" t="s">
        <v>23</v>
      </c>
      <c r="C6" s="18">
        <v>20</v>
      </c>
      <c r="D6" s="18">
        <v>56</v>
      </c>
      <c r="E6" s="18">
        <v>700</v>
      </c>
      <c r="F6" s="18">
        <v>0</v>
      </c>
      <c r="G6" s="18">
        <v>400</v>
      </c>
      <c r="H6" s="18">
        <v>2</v>
      </c>
      <c r="I6" s="18">
        <v>8</v>
      </c>
    </row>
    <row r="7" spans="1:10" ht="28.8" x14ac:dyDescent="0.3">
      <c r="A7" s="21" t="s">
        <v>99</v>
      </c>
      <c r="B7" s="31" t="s">
        <v>23</v>
      </c>
      <c r="C7" s="18">
        <v>24</v>
      </c>
      <c r="D7" s="18">
        <v>48</v>
      </c>
      <c r="E7" s="18">
        <v>1500</v>
      </c>
      <c r="F7" s="18">
        <v>0</v>
      </c>
      <c r="G7" s="18">
        <v>200</v>
      </c>
      <c r="H7" s="18">
        <v>2</v>
      </c>
      <c r="I7" s="18">
        <v>4</v>
      </c>
    </row>
    <row r="8" spans="1:10" ht="100.8" x14ac:dyDescent="0.3">
      <c r="A8" s="21" t="s">
        <v>70</v>
      </c>
      <c r="B8" s="31" t="s">
        <v>23</v>
      </c>
      <c r="C8" s="18">
        <v>32</v>
      </c>
      <c r="D8" s="18">
        <v>144</v>
      </c>
      <c r="E8" s="18">
        <v>2740</v>
      </c>
      <c r="F8" s="18">
        <v>0</v>
      </c>
      <c r="G8" s="18">
        <v>1750</v>
      </c>
      <c r="H8" s="18">
        <v>2</v>
      </c>
      <c r="I8" s="18">
        <v>7</v>
      </c>
    </row>
    <row r="9" spans="1:10" ht="28.8" x14ac:dyDescent="0.3">
      <c r="A9" s="21" t="s">
        <v>100</v>
      </c>
      <c r="B9" s="31" t="s">
        <v>23</v>
      </c>
      <c r="C9" s="18">
        <v>28</v>
      </c>
      <c r="D9" s="18">
        <v>104</v>
      </c>
      <c r="E9" s="18">
        <v>1800</v>
      </c>
      <c r="F9" s="18">
        <v>0</v>
      </c>
      <c r="G9" s="18">
        <v>1750</v>
      </c>
      <c r="H9" s="18">
        <v>2</v>
      </c>
      <c r="I9" s="18">
        <v>7</v>
      </c>
    </row>
    <row r="10" spans="1:10" ht="43.2" x14ac:dyDescent="0.3">
      <c r="A10" s="21" t="s">
        <v>101</v>
      </c>
      <c r="B10" s="31" t="s">
        <v>23</v>
      </c>
      <c r="C10" s="18">
        <v>62</v>
      </c>
      <c r="D10" s="18">
        <v>188</v>
      </c>
      <c r="E10" s="18">
        <v>150</v>
      </c>
      <c r="F10" s="18">
        <v>1250</v>
      </c>
      <c r="G10" s="18">
        <v>500</v>
      </c>
      <c r="H10" s="18">
        <v>2</v>
      </c>
      <c r="I10" s="18">
        <v>10</v>
      </c>
    </row>
    <row r="11" spans="1:10" ht="43.2" x14ac:dyDescent="0.3">
      <c r="A11" s="21" t="s">
        <v>40</v>
      </c>
      <c r="B11" s="31" t="s">
        <v>81</v>
      </c>
      <c r="C11" s="18">
        <v>60</v>
      </c>
      <c r="D11" s="18">
        <v>264</v>
      </c>
      <c r="E11" s="18">
        <v>2500</v>
      </c>
      <c r="F11" s="18">
        <v>0</v>
      </c>
      <c r="G11" s="18">
        <v>11500</v>
      </c>
      <c r="H11" s="18">
        <v>2</v>
      </c>
      <c r="I11" s="18">
        <v>9</v>
      </c>
    </row>
    <row r="12" spans="1:10" ht="28.8" x14ac:dyDescent="0.3">
      <c r="A12" s="21" t="s">
        <v>41</v>
      </c>
      <c r="B12" s="31" t="s">
        <v>23</v>
      </c>
      <c r="C12" s="18" t="s">
        <v>77</v>
      </c>
      <c r="D12" s="18" t="s">
        <v>77</v>
      </c>
      <c r="E12" s="18" t="s">
        <v>77</v>
      </c>
      <c r="F12" s="18" t="s">
        <v>77</v>
      </c>
      <c r="G12" s="18" t="s">
        <v>77</v>
      </c>
      <c r="H12" s="18" t="s">
        <v>77</v>
      </c>
      <c r="I12" s="18" t="s">
        <v>77</v>
      </c>
      <c r="J12" t="s">
        <v>79</v>
      </c>
    </row>
    <row r="13" spans="1:10" ht="28.8" x14ac:dyDescent="0.3">
      <c r="A13" s="21" t="s">
        <v>41</v>
      </c>
      <c r="B13" s="31" t="s">
        <v>23</v>
      </c>
      <c r="C13" s="18" t="s">
        <v>77</v>
      </c>
      <c r="D13" s="18" t="s">
        <v>77</v>
      </c>
      <c r="E13" s="18" t="s">
        <v>77</v>
      </c>
      <c r="F13" s="18" t="s">
        <v>77</v>
      </c>
      <c r="G13" s="18" t="s">
        <v>77</v>
      </c>
      <c r="H13" s="18" t="s">
        <v>77</v>
      </c>
      <c r="I13" s="18" t="s">
        <v>77</v>
      </c>
      <c r="J13" t="s">
        <v>78</v>
      </c>
    </row>
    <row r="14" spans="1:10" ht="28.8" x14ac:dyDescent="0.3">
      <c r="A14" s="21" t="s">
        <v>102</v>
      </c>
      <c r="B14" s="31" t="s">
        <v>23</v>
      </c>
      <c r="C14" s="18">
        <v>8</v>
      </c>
      <c r="D14" s="18">
        <v>16</v>
      </c>
      <c r="E14" s="18">
        <v>0</v>
      </c>
      <c r="F14" s="18">
        <v>0</v>
      </c>
      <c r="G14" s="18">
        <v>0</v>
      </c>
      <c r="H14" s="18">
        <v>2</v>
      </c>
      <c r="I14" s="18">
        <v>0</v>
      </c>
    </row>
    <row r="15" spans="1:10" ht="28.8" x14ac:dyDescent="0.3">
      <c r="A15" s="21" t="s">
        <v>103</v>
      </c>
      <c r="B15" s="31" t="s">
        <v>23</v>
      </c>
      <c r="C15" s="18">
        <v>12</v>
      </c>
      <c r="D15" s="18">
        <v>24</v>
      </c>
      <c r="E15" s="18">
        <v>150</v>
      </c>
      <c r="F15" s="18">
        <v>0</v>
      </c>
      <c r="G15" s="18">
        <v>150</v>
      </c>
      <c r="H15" s="18">
        <v>2</v>
      </c>
      <c r="I15" s="18">
        <v>3</v>
      </c>
    </row>
    <row r="16" spans="1:10" ht="28.8" x14ac:dyDescent="0.3">
      <c r="A16" s="21" t="s">
        <v>104</v>
      </c>
      <c r="B16" s="31" t="s">
        <v>23</v>
      </c>
      <c r="C16" s="18" t="s">
        <v>77</v>
      </c>
      <c r="D16" s="18" t="s">
        <v>77</v>
      </c>
      <c r="E16" s="18" t="s">
        <v>77</v>
      </c>
      <c r="F16" s="18" t="s">
        <v>77</v>
      </c>
      <c r="G16" s="18" t="s">
        <v>77</v>
      </c>
      <c r="H16" s="18" t="s">
        <v>77</v>
      </c>
      <c r="I16" s="18" t="s">
        <v>77</v>
      </c>
    </row>
    <row r="17" spans="1:10" ht="28.8" x14ac:dyDescent="0.3">
      <c r="A17" s="21" t="s">
        <v>105</v>
      </c>
      <c r="B17" s="31" t="s">
        <v>23</v>
      </c>
      <c r="C17" s="18" t="s">
        <v>77</v>
      </c>
      <c r="D17" s="18" t="s">
        <v>77</v>
      </c>
      <c r="E17" s="18" t="s">
        <v>77</v>
      </c>
      <c r="F17" s="18" t="s">
        <v>77</v>
      </c>
      <c r="G17" s="18" t="s">
        <v>77</v>
      </c>
      <c r="H17" s="18" t="s">
        <v>77</v>
      </c>
      <c r="I17" s="18" t="s">
        <v>77</v>
      </c>
      <c r="J17" s="32" t="s">
        <v>82</v>
      </c>
    </row>
    <row r="18" spans="1:10" ht="28.8" x14ac:dyDescent="0.3">
      <c r="A18" s="21" t="s">
        <v>105</v>
      </c>
      <c r="B18" s="31" t="s">
        <v>23</v>
      </c>
      <c r="C18" s="18">
        <v>6</v>
      </c>
      <c r="D18" s="18">
        <v>10</v>
      </c>
      <c r="E18" s="18">
        <v>0</v>
      </c>
      <c r="F18" s="18">
        <v>0</v>
      </c>
      <c r="G18" s="18">
        <v>0</v>
      </c>
      <c r="H18" s="18">
        <v>2</v>
      </c>
      <c r="I18" s="18">
        <v>0</v>
      </c>
      <c r="J18" s="32" t="s">
        <v>83</v>
      </c>
    </row>
    <row r="19" spans="1:10" ht="28.8" x14ac:dyDescent="0.3">
      <c r="A19" s="21" t="s">
        <v>105</v>
      </c>
      <c r="B19" s="31" t="s">
        <v>23</v>
      </c>
      <c r="C19" s="18">
        <v>6</v>
      </c>
      <c r="D19" s="18">
        <v>10</v>
      </c>
      <c r="E19" s="18">
        <v>0</v>
      </c>
      <c r="F19" s="18">
        <v>0</v>
      </c>
      <c r="G19" s="18">
        <v>0</v>
      </c>
      <c r="H19" s="18">
        <v>2</v>
      </c>
      <c r="I19" s="18">
        <v>0</v>
      </c>
      <c r="J19" s="32" t="s">
        <v>84</v>
      </c>
    </row>
    <row r="20" spans="1:10" ht="28.8" x14ac:dyDescent="0.3">
      <c r="A20" s="21" t="s">
        <v>105</v>
      </c>
      <c r="B20" s="31" t="s">
        <v>23</v>
      </c>
      <c r="C20" s="18" t="s">
        <v>77</v>
      </c>
      <c r="D20" s="18" t="s">
        <v>77</v>
      </c>
      <c r="E20" s="18" t="s">
        <v>77</v>
      </c>
      <c r="F20" s="18" t="s">
        <v>77</v>
      </c>
      <c r="G20" s="18" t="s">
        <v>77</v>
      </c>
      <c r="H20" s="18" t="s">
        <v>77</v>
      </c>
      <c r="I20" s="18" t="s">
        <v>77</v>
      </c>
      <c r="J20" s="32" t="s">
        <v>85</v>
      </c>
    </row>
    <row r="21" spans="1:10" ht="28.8" x14ac:dyDescent="0.3">
      <c r="A21" s="21" t="s">
        <v>105</v>
      </c>
      <c r="B21" s="31" t="s">
        <v>23</v>
      </c>
      <c r="C21" s="18">
        <v>4</v>
      </c>
      <c r="D21" s="18">
        <v>8</v>
      </c>
      <c r="E21" s="18">
        <v>0</v>
      </c>
      <c r="F21" s="18">
        <v>0</v>
      </c>
      <c r="G21" s="18">
        <v>0</v>
      </c>
      <c r="H21" s="18">
        <v>2</v>
      </c>
      <c r="I21" s="18">
        <v>0</v>
      </c>
      <c r="J21" s="32" t="s">
        <v>86</v>
      </c>
    </row>
    <row r="22" spans="1:10" ht="28.8" x14ac:dyDescent="0.3">
      <c r="A22" s="21" t="s">
        <v>105</v>
      </c>
      <c r="B22" s="31" t="s">
        <v>23</v>
      </c>
      <c r="C22" s="18" t="s">
        <v>77</v>
      </c>
      <c r="D22" s="18" t="s">
        <v>77</v>
      </c>
      <c r="E22" s="18" t="s">
        <v>77</v>
      </c>
      <c r="F22" s="18" t="s">
        <v>77</v>
      </c>
      <c r="G22" s="18" t="s">
        <v>77</v>
      </c>
      <c r="H22" s="18" t="s">
        <v>77</v>
      </c>
      <c r="I22" s="18" t="s">
        <v>77</v>
      </c>
      <c r="J22" s="32" t="s">
        <v>87</v>
      </c>
    </row>
    <row r="23" spans="1:10" ht="28.8" x14ac:dyDescent="0.3">
      <c r="A23" s="21" t="s">
        <v>105</v>
      </c>
      <c r="B23" s="31" t="s">
        <v>23</v>
      </c>
      <c r="C23" s="18">
        <v>12</v>
      </c>
      <c r="D23" s="18">
        <v>24</v>
      </c>
      <c r="E23" s="18">
        <v>0</v>
      </c>
      <c r="F23" s="18">
        <v>0</v>
      </c>
      <c r="G23" s="18">
        <v>0</v>
      </c>
      <c r="H23" s="18">
        <v>2</v>
      </c>
      <c r="I23" s="18">
        <v>0</v>
      </c>
      <c r="J23" s="32" t="s">
        <v>88</v>
      </c>
    </row>
    <row r="24" spans="1:10" ht="28.8" x14ac:dyDescent="0.3">
      <c r="A24" s="21" t="s">
        <v>105</v>
      </c>
      <c r="B24" s="31" t="s">
        <v>23</v>
      </c>
      <c r="C24" s="18">
        <v>20</v>
      </c>
      <c r="D24" s="18">
        <v>20</v>
      </c>
      <c r="E24" s="18">
        <v>0</v>
      </c>
      <c r="F24" s="18">
        <v>0</v>
      </c>
      <c r="G24" s="18">
        <v>0</v>
      </c>
      <c r="H24" s="18">
        <v>2</v>
      </c>
      <c r="I24" s="18">
        <v>0</v>
      </c>
      <c r="J24" s="32" t="s">
        <v>89</v>
      </c>
    </row>
    <row r="25" spans="1:10" ht="28.8" x14ac:dyDescent="0.3">
      <c r="A25" s="21" t="s">
        <v>105</v>
      </c>
      <c r="B25" s="31" t="s">
        <v>23</v>
      </c>
      <c r="C25" s="18" t="s">
        <v>77</v>
      </c>
      <c r="D25" s="18" t="s">
        <v>77</v>
      </c>
      <c r="E25" s="18" t="s">
        <v>77</v>
      </c>
      <c r="F25" s="18" t="s">
        <v>77</v>
      </c>
      <c r="G25" s="18" t="s">
        <v>77</v>
      </c>
      <c r="H25" s="18" t="s">
        <v>77</v>
      </c>
      <c r="I25" s="18" t="s">
        <v>77</v>
      </c>
      <c r="J25" s="32" t="s">
        <v>90</v>
      </c>
    </row>
    <row r="26" spans="1:10" ht="28.8" x14ac:dyDescent="0.3">
      <c r="A26" s="21" t="s">
        <v>105</v>
      </c>
      <c r="B26" s="31" t="s">
        <v>23</v>
      </c>
      <c r="C26" s="18" t="s">
        <v>77</v>
      </c>
      <c r="D26" s="18" t="s">
        <v>77</v>
      </c>
      <c r="E26" s="18" t="s">
        <v>77</v>
      </c>
      <c r="F26" s="18" t="s">
        <v>77</v>
      </c>
      <c r="G26" s="18" t="s">
        <v>77</v>
      </c>
      <c r="H26" s="18" t="s">
        <v>77</v>
      </c>
      <c r="I26" s="18" t="s">
        <v>77</v>
      </c>
      <c r="J26" s="32" t="s">
        <v>94</v>
      </c>
    </row>
    <row r="27" spans="1:10" ht="28.8" x14ac:dyDescent="0.3">
      <c r="A27" s="21" t="s">
        <v>105</v>
      </c>
      <c r="B27" s="31" t="s">
        <v>23</v>
      </c>
      <c r="C27" s="18" t="s">
        <v>77</v>
      </c>
      <c r="D27" s="18" t="s">
        <v>77</v>
      </c>
      <c r="E27" s="18" t="s">
        <v>77</v>
      </c>
      <c r="F27" s="18" t="s">
        <v>77</v>
      </c>
      <c r="G27" s="18" t="s">
        <v>77</v>
      </c>
      <c r="H27" s="18" t="s">
        <v>77</v>
      </c>
      <c r="I27" s="18" t="s">
        <v>77</v>
      </c>
      <c r="J27" s="32" t="s">
        <v>91</v>
      </c>
    </row>
    <row r="28" spans="1:10" ht="28.8" x14ac:dyDescent="0.3">
      <c r="A28" s="21" t="s">
        <v>105</v>
      </c>
      <c r="B28" s="31" t="s">
        <v>23</v>
      </c>
      <c r="C28" s="18">
        <v>80</v>
      </c>
      <c r="D28" s="18">
        <v>196</v>
      </c>
      <c r="E28" s="18">
        <v>600</v>
      </c>
      <c r="F28" s="18">
        <v>0</v>
      </c>
      <c r="G28" s="18">
        <v>400</v>
      </c>
      <c r="H28" s="18">
        <v>2</v>
      </c>
      <c r="I28" s="18">
        <v>6</v>
      </c>
      <c r="J28" s="32" t="s">
        <v>92</v>
      </c>
    </row>
    <row r="29" spans="1:10" x14ac:dyDescent="0.3">
      <c r="A29" s="21" t="s">
        <v>106</v>
      </c>
      <c r="B29" s="31" t="s">
        <v>23</v>
      </c>
      <c r="C29" s="18">
        <v>14</v>
      </c>
      <c r="D29" s="18">
        <v>32</v>
      </c>
      <c r="E29" s="18">
        <v>0</v>
      </c>
      <c r="F29" s="18">
        <v>0</v>
      </c>
      <c r="G29" s="18">
        <v>350</v>
      </c>
      <c r="H29" s="18">
        <v>2</v>
      </c>
      <c r="I29" s="18">
        <v>7</v>
      </c>
    </row>
    <row r="30" spans="1:10" ht="28.8" x14ac:dyDescent="0.3">
      <c r="A30" s="21" t="s">
        <v>107</v>
      </c>
      <c r="B30" s="31" t="s">
        <v>23</v>
      </c>
      <c r="C30" s="18">
        <v>8</v>
      </c>
      <c r="D30" s="18">
        <v>16</v>
      </c>
      <c r="E30" s="18">
        <v>200</v>
      </c>
      <c r="F30" s="18">
        <v>0</v>
      </c>
      <c r="G30" s="18">
        <v>100</v>
      </c>
      <c r="H30" s="18">
        <v>2</v>
      </c>
      <c r="I30" s="18">
        <v>2</v>
      </c>
    </row>
    <row r="31" spans="1:10" x14ac:dyDescent="0.3">
      <c r="A31" s="21" t="s">
        <v>108</v>
      </c>
      <c r="B31" s="31" t="s">
        <v>23</v>
      </c>
      <c r="C31" s="18">
        <v>8</v>
      </c>
      <c r="D31" s="18">
        <v>8</v>
      </c>
      <c r="E31" s="18">
        <v>0</v>
      </c>
      <c r="F31" s="18">
        <v>0</v>
      </c>
      <c r="G31" s="18">
        <v>100</v>
      </c>
      <c r="H31" s="18">
        <v>2</v>
      </c>
      <c r="I31" s="18">
        <v>2</v>
      </c>
    </row>
    <row r="32" spans="1:10" x14ac:dyDescent="0.3">
      <c r="A32" s="21" t="s">
        <v>109</v>
      </c>
      <c r="B32" s="31" t="s">
        <v>23</v>
      </c>
      <c r="C32" s="18">
        <v>25</v>
      </c>
      <c r="D32" s="18">
        <v>37</v>
      </c>
      <c r="E32" s="18">
        <v>350</v>
      </c>
      <c r="F32" s="18">
        <v>0</v>
      </c>
      <c r="G32" s="18">
        <v>250</v>
      </c>
      <c r="H32" s="18">
        <v>2</v>
      </c>
      <c r="I32" s="18">
        <v>5</v>
      </c>
    </row>
    <row r="33" spans="1:10" x14ac:dyDescent="0.3">
      <c r="A33" s="21" t="s">
        <v>110</v>
      </c>
      <c r="B33" s="31" t="s">
        <v>23</v>
      </c>
      <c r="C33" s="18" t="s">
        <v>77</v>
      </c>
      <c r="D33" s="18" t="s">
        <v>77</v>
      </c>
      <c r="E33" s="18" t="s">
        <v>77</v>
      </c>
      <c r="F33" s="18" t="s">
        <v>77</v>
      </c>
      <c r="G33" s="18" t="s">
        <v>77</v>
      </c>
      <c r="H33" s="18" t="s">
        <v>77</v>
      </c>
      <c r="I33" s="18" t="s">
        <v>77</v>
      </c>
    </row>
    <row r="34" spans="1:10" ht="72" x14ac:dyDescent="0.3">
      <c r="A34" s="21" t="s">
        <v>95</v>
      </c>
      <c r="B34" s="31" t="s">
        <v>23</v>
      </c>
      <c r="C34" s="18"/>
      <c r="D34" s="18"/>
      <c r="E34" s="18"/>
      <c r="F34" s="18"/>
      <c r="G34" s="18"/>
      <c r="H34" s="18"/>
      <c r="I34" s="18"/>
    </row>
    <row r="35" spans="1:10" ht="43.2" x14ac:dyDescent="0.3">
      <c r="A35" s="21" t="s">
        <v>48</v>
      </c>
      <c r="B35" s="31" t="s">
        <v>23</v>
      </c>
      <c r="C35" s="18">
        <v>4</v>
      </c>
      <c r="D35" s="18">
        <v>8</v>
      </c>
      <c r="E35" s="18">
        <v>0</v>
      </c>
      <c r="F35" s="18">
        <v>0</v>
      </c>
      <c r="G35" s="18">
        <v>0</v>
      </c>
      <c r="H35" s="18">
        <v>2</v>
      </c>
      <c r="I35" s="18">
        <v>0</v>
      </c>
    </row>
    <row r="36" spans="1:10" ht="28.8" x14ac:dyDescent="0.3">
      <c r="A36" s="21" t="s">
        <v>111</v>
      </c>
      <c r="B36" s="31" t="s">
        <v>23</v>
      </c>
      <c r="C36" s="18" t="s">
        <v>77</v>
      </c>
      <c r="D36" s="18" t="s">
        <v>77</v>
      </c>
      <c r="E36" s="18" t="s">
        <v>77</v>
      </c>
      <c r="F36" s="18" t="s">
        <v>77</v>
      </c>
      <c r="G36" s="18" t="s">
        <v>77</v>
      </c>
      <c r="H36" s="18" t="s">
        <v>77</v>
      </c>
      <c r="I36" s="18" t="s">
        <v>77</v>
      </c>
      <c r="J36" t="s">
        <v>73</v>
      </c>
    </row>
    <row r="37" spans="1:10" ht="28.8" x14ac:dyDescent="0.3">
      <c r="A37" s="21" t="s">
        <v>112</v>
      </c>
      <c r="B37" s="31" t="s">
        <v>23</v>
      </c>
      <c r="C37" s="18" t="s">
        <v>77</v>
      </c>
      <c r="D37" s="18" t="s">
        <v>77</v>
      </c>
      <c r="E37" s="18" t="s">
        <v>77</v>
      </c>
      <c r="F37" s="18" t="s">
        <v>77</v>
      </c>
      <c r="G37" s="18" t="s">
        <v>77</v>
      </c>
      <c r="H37" s="18" t="s">
        <v>77</v>
      </c>
      <c r="I37" s="18" t="s">
        <v>77</v>
      </c>
      <c r="J37" t="s">
        <v>73</v>
      </c>
    </row>
    <row r="38" spans="1:10" ht="28.8" x14ac:dyDescent="0.3">
      <c r="A38" s="21" t="s">
        <v>113</v>
      </c>
      <c r="B38" s="31" t="s">
        <v>23</v>
      </c>
      <c r="C38" s="18" t="s">
        <v>77</v>
      </c>
      <c r="D38" s="18" t="s">
        <v>77</v>
      </c>
      <c r="E38" s="18" t="s">
        <v>77</v>
      </c>
      <c r="F38" s="18" t="s">
        <v>77</v>
      </c>
      <c r="G38" s="18" t="s">
        <v>77</v>
      </c>
      <c r="H38" s="18" t="s">
        <v>77</v>
      </c>
      <c r="I38" s="18" t="s">
        <v>77</v>
      </c>
      <c r="J38" t="s">
        <v>73</v>
      </c>
    </row>
    <row r="39" spans="1:10" ht="28.8" x14ac:dyDescent="0.3">
      <c r="A39" s="21" t="s">
        <v>114</v>
      </c>
      <c r="B39" s="31" t="s">
        <v>23</v>
      </c>
      <c r="C39" s="18" t="s">
        <v>77</v>
      </c>
      <c r="D39" s="18" t="s">
        <v>77</v>
      </c>
      <c r="E39" s="18" t="s">
        <v>77</v>
      </c>
      <c r="F39" s="18" t="s">
        <v>77</v>
      </c>
      <c r="G39" s="18" t="s">
        <v>77</v>
      </c>
      <c r="H39" s="18" t="s">
        <v>77</v>
      </c>
      <c r="I39" s="18" t="s">
        <v>77</v>
      </c>
      <c r="J39" t="s">
        <v>73</v>
      </c>
    </row>
    <row r="40" spans="1:10" ht="28.8" x14ac:dyDescent="0.3">
      <c r="A40" s="21" t="s">
        <v>115</v>
      </c>
      <c r="B40" s="31" t="s">
        <v>23</v>
      </c>
      <c r="C40" s="18" t="s">
        <v>77</v>
      </c>
      <c r="D40" s="18" t="s">
        <v>77</v>
      </c>
      <c r="E40" s="18" t="s">
        <v>77</v>
      </c>
      <c r="F40" s="18" t="s">
        <v>77</v>
      </c>
      <c r="G40" s="18" t="s">
        <v>77</v>
      </c>
      <c r="H40" s="18" t="s">
        <v>77</v>
      </c>
      <c r="I40" s="18" t="s">
        <v>77</v>
      </c>
      <c r="J40" t="s">
        <v>73</v>
      </c>
    </row>
    <row r="41" spans="1:10" ht="28.8" x14ac:dyDescent="0.3">
      <c r="A41" s="21" t="s">
        <v>116</v>
      </c>
      <c r="B41" s="31" t="s">
        <v>23</v>
      </c>
      <c r="C41" s="18" t="s">
        <v>77</v>
      </c>
      <c r="D41" s="18" t="s">
        <v>77</v>
      </c>
      <c r="E41" s="18" t="s">
        <v>77</v>
      </c>
      <c r="F41" s="18" t="s">
        <v>77</v>
      </c>
      <c r="G41" s="18" t="s">
        <v>77</v>
      </c>
      <c r="H41" s="18" t="s">
        <v>77</v>
      </c>
      <c r="I41" s="18" t="s">
        <v>77</v>
      </c>
      <c r="J41" t="s">
        <v>74</v>
      </c>
    </row>
    <row r="42" spans="1:10" ht="43.2" x14ac:dyDescent="0.3">
      <c r="A42" s="21" t="s">
        <v>117</v>
      </c>
      <c r="B42" s="31" t="s">
        <v>23</v>
      </c>
      <c r="C42" s="18" t="s">
        <v>77</v>
      </c>
      <c r="D42" s="18" t="s">
        <v>77</v>
      </c>
      <c r="E42" s="18" t="s">
        <v>77</v>
      </c>
      <c r="F42" s="18" t="s">
        <v>77</v>
      </c>
      <c r="G42" s="18" t="s">
        <v>77</v>
      </c>
      <c r="H42" s="18" t="s">
        <v>77</v>
      </c>
      <c r="I42" s="18" t="s">
        <v>77</v>
      </c>
      <c r="J42" t="s">
        <v>73</v>
      </c>
    </row>
    <row r="43" spans="1:10" ht="28.8" x14ac:dyDescent="0.3">
      <c r="A43" s="21" t="s">
        <v>118</v>
      </c>
      <c r="B43" s="31" t="s">
        <v>23</v>
      </c>
      <c r="C43" s="18" t="s">
        <v>77</v>
      </c>
      <c r="D43" s="18" t="s">
        <v>77</v>
      </c>
      <c r="E43" s="18" t="s">
        <v>77</v>
      </c>
      <c r="F43" s="18" t="s">
        <v>77</v>
      </c>
      <c r="G43" s="18" t="s">
        <v>77</v>
      </c>
      <c r="H43" s="18" t="s">
        <v>77</v>
      </c>
      <c r="I43" s="18" t="s">
        <v>77</v>
      </c>
      <c r="J43" t="s">
        <v>75</v>
      </c>
    </row>
    <row r="44" spans="1:10" ht="43.2" x14ac:dyDescent="0.3">
      <c r="A44" s="21" t="s">
        <v>119</v>
      </c>
      <c r="B44" s="31" t="s">
        <v>23</v>
      </c>
      <c r="C44" s="18" t="s">
        <v>77</v>
      </c>
      <c r="D44" s="18" t="s">
        <v>77</v>
      </c>
      <c r="E44" s="18" t="s">
        <v>77</v>
      </c>
      <c r="F44" s="18" t="s">
        <v>77</v>
      </c>
      <c r="G44" s="18" t="s">
        <v>77</v>
      </c>
      <c r="H44" s="18" t="s">
        <v>77</v>
      </c>
      <c r="I44" s="18" t="s">
        <v>77</v>
      </c>
      <c r="J44" t="s">
        <v>75</v>
      </c>
    </row>
    <row r="45" spans="1:10" ht="28.8" x14ac:dyDescent="0.3">
      <c r="A45" s="21" t="s">
        <v>120</v>
      </c>
      <c r="B45" s="31" t="s">
        <v>23</v>
      </c>
      <c r="C45" s="18" t="s">
        <v>77</v>
      </c>
      <c r="D45" s="18" t="s">
        <v>77</v>
      </c>
      <c r="E45" s="18" t="s">
        <v>77</v>
      </c>
      <c r="F45" s="18" t="s">
        <v>77</v>
      </c>
      <c r="G45" s="18" t="s">
        <v>77</v>
      </c>
      <c r="H45" s="18" t="s">
        <v>77</v>
      </c>
      <c r="I45" s="18" t="s">
        <v>77</v>
      </c>
      <c r="J45" t="s">
        <v>75</v>
      </c>
    </row>
    <row r="46" spans="1:10" ht="28.8" x14ac:dyDescent="0.3">
      <c r="A46" s="21" t="s">
        <v>121</v>
      </c>
      <c r="B46" s="31" t="s">
        <v>23</v>
      </c>
      <c r="C46" s="18" t="s">
        <v>77</v>
      </c>
      <c r="D46" s="18" t="s">
        <v>77</v>
      </c>
      <c r="E46" s="18" t="s">
        <v>77</v>
      </c>
      <c r="F46" s="18" t="s">
        <v>77</v>
      </c>
      <c r="G46" s="18" t="s">
        <v>77</v>
      </c>
      <c r="H46" s="18" t="s">
        <v>77</v>
      </c>
      <c r="I46" s="18" t="s">
        <v>77</v>
      </c>
      <c r="J46" t="s">
        <v>75</v>
      </c>
    </row>
    <row r="47" spans="1:10" ht="28.8" x14ac:dyDescent="0.3">
      <c r="A47" s="21" t="s">
        <v>122</v>
      </c>
      <c r="B47" s="31" t="s">
        <v>23</v>
      </c>
      <c r="C47" s="18">
        <v>8</v>
      </c>
      <c r="D47" s="18">
        <v>16</v>
      </c>
      <c r="E47" s="18">
        <v>0</v>
      </c>
      <c r="F47" s="18">
        <v>400</v>
      </c>
      <c r="G47" s="18">
        <v>100</v>
      </c>
      <c r="H47" s="18">
        <v>2</v>
      </c>
      <c r="I47" s="18">
        <v>2</v>
      </c>
      <c r="J47" t="s">
        <v>76</v>
      </c>
    </row>
    <row r="48" spans="1:10" ht="43.8" thickBot="1" x14ac:dyDescent="0.35">
      <c r="A48" s="25" t="s">
        <v>123</v>
      </c>
      <c r="B48" s="31" t="s">
        <v>23</v>
      </c>
      <c r="C48" s="18" t="s">
        <v>77</v>
      </c>
      <c r="D48" s="18" t="s">
        <v>77</v>
      </c>
      <c r="E48" s="18" t="s">
        <v>77</v>
      </c>
      <c r="F48" s="18" t="s">
        <v>77</v>
      </c>
      <c r="G48" s="18" t="s">
        <v>77</v>
      </c>
      <c r="H48" s="18" t="s">
        <v>77</v>
      </c>
      <c r="I48" s="18" t="s">
        <v>77</v>
      </c>
      <c r="J48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opLeftCell="A35" workbookViewId="0">
      <selection activeCell="A2" sqref="A2:A48"/>
    </sheetView>
  </sheetViews>
  <sheetFormatPr defaultRowHeight="14.4" x14ac:dyDescent="0.3"/>
  <cols>
    <col min="1" max="1" width="36.6640625" customWidth="1"/>
    <col min="2" max="2" width="12.109375" customWidth="1"/>
  </cols>
  <sheetData>
    <row r="1" spans="1:10" ht="205.2" x14ac:dyDescent="0.3">
      <c r="A1" s="35" t="s">
        <v>59</v>
      </c>
      <c r="B1" s="33" t="s">
        <v>60</v>
      </c>
      <c r="C1" s="29" t="s">
        <v>63</v>
      </c>
      <c r="D1" s="29" t="s">
        <v>65</v>
      </c>
      <c r="E1" s="29" t="s">
        <v>66</v>
      </c>
      <c r="F1" s="29" t="s">
        <v>67</v>
      </c>
      <c r="G1" s="29" t="s">
        <v>68</v>
      </c>
      <c r="H1" s="29" t="s">
        <v>69</v>
      </c>
      <c r="I1" s="29" t="s">
        <v>21</v>
      </c>
      <c r="J1" s="36" t="s">
        <v>93</v>
      </c>
    </row>
    <row r="2" spans="1:10" ht="28.8" x14ac:dyDescent="0.3">
      <c r="A2" s="21" t="s">
        <v>96</v>
      </c>
      <c r="B2" s="31" t="s">
        <v>23</v>
      </c>
      <c r="C2" s="18" t="s">
        <v>77</v>
      </c>
      <c r="D2" s="18" t="s">
        <v>77</v>
      </c>
      <c r="E2" s="18" t="s">
        <v>77</v>
      </c>
      <c r="F2" s="18" t="s">
        <v>77</v>
      </c>
      <c r="G2" s="18" t="s">
        <v>77</v>
      </c>
      <c r="H2" s="18" t="s">
        <v>77</v>
      </c>
      <c r="I2" s="18" t="s">
        <v>77</v>
      </c>
    </row>
    <row r="3" spans="1:10" ht="28.8" x14ac:dyDescent="0.3">
      <c r="A3" s="21" t="s">
        <v>96</v>
      </c>
      <c r="B3" s="31" t="s">
        <v>81</v>
      </c>
      <c r="C3" s="18" t="s">
        <v>77</v>
      </c>
      <c r="D3" s="18" t="s">
        <v>77</v>
      </c>
      <c r="E3" s="18" t="s">
        <v>77</v>
      </c>
      <c r="F3" s="18" t="s">
        <v>77</v>
      </c>
      <c r="G3" s="18" t="s">
        <v>77</v>
      </c>
      <c r="H3" s="18" t="s">
        <v>77</v>
      </c>
      <c r="I3" s="18" t="s">
        <v>77</v>
      </c>
    </row>
    <row r="4" spans="1:10" ht="28.8" x14ac:dyDescent="0.3">
      <c r="A4" s="21" t="s">
        <v>35</v>
      </c>
      <c r="B4" s="31" t="s">
        <v>23</v>
      </c>
      <c r="C4" s="18">
        <v>8</v>
      </c>
      <c r="D4" s="18">
        <v>16</v>
      </c>
      <c r="E4" s="18">
        <v>0</v>
      </c>
      <c r="F4" s="18">
        <v>50</v>
      </c>
      <c r="G4" s="18">
        <v>50</v>
      </c>
      <c r="H4" s="18">
        <v>2</v>
      </c>
      <c r="I4" s="18">
        <v>1</v>
      </c>
    </row>
    <row r="5" spans="1:10" ht="28.8" x14ac:dyDescent="0.3">
      <c r="A5" s="21" t="s">
        <v>97</v>
      </c>
      <c r="B5" s="31" t="s">
        <v>23</v>
      </c>
      <c r="C5" s="18" t="s">
        <v>77</v>
      </c>
      <c r="D5" s="18" t="s">
        <v>77</v>
      </c>
      <c r="E5" s="18" t="s">
        <v>77</v>
      </c>
      <c r="F5" s="18" t="s">
        <v>77</v>
      </c>
      <c r="G5" s="18" t="s">
        <v>77</v>
      </c>
      <c r="H5" s="18" t="s">
        <v>77</v>
      </c>
      <c r="I5" s="18" t="s">
        <v>77</v>
      </c>
    </row>
    <row r="6" spans="1:10" ht="28.8" x14ac:dyDescent="0.3">
      <c r="A6" s="21" t="s">
        <v>98</v>
      </c>
      <c r="B6" s="31" t="s">
        <v>23</v>
      </c>
      <c r="C6" s="18" t="s">
        <v>77</v>
      </c>
      <c r="D6" s="18" t="s">
        <v>77</v>
      </c>
      <c r="E6" s="18" t="s">
        <v>77</v>
      </c>
      <c r="F6" s="18" t="s">
        <v>77</v>
      </c>
      <c r="G6" s="18" t="s">
        <v>77</v>
      </c>
      <c r="H6" s="18" t="s">
        <v>77</v>
      </c>
      <c r="I6" s="18" t="s">
        <v>77</v>
      </c>
    </row>
    <row r="7" spans="1:10" ht="28.8" x14ac:dyDescent="0.3">
      <c r="A7" s="21" t="s">
        <v>99</v>
      </c>
      <c r="B7" s="31" t="s">
        <v>23</v>
      </c>
      <c r="C7" s="18">
        <v>64</v>
      </c>
      <c r="D7" s="18">
        <v>92</v>
      </c>
      <c r="E7" s="18">
        <v>350</v>
      </c>
      <c r="F7" s="18">
        <v>0</v>
      </c>
      <c r="G7" s="18">
        <v>250</v>
      </c>
      <c r="H7" s="18">
        <v>2</v>
      </c>
      <c r="I7" s="18">
        <v>5</v>
      </c>
    </row>
    <row r="8" spans="1:10" ht="100.8" x14ac:dyDescent="0.3">
      <c r="A8" s="21" t="s">
        <v>70</v>
      </c>
      <c r="B8" s="31" t="s">
        <v>23</v>
      </c>
      <c r="C8" s="18" t="s">
        <v>77</v>
      </c>
      <c r="D8" s="18" t="s">
        <v>77</v>
      </c>
      <c r="E8" s="18" t="s">
        <v>77</v>
      </c>
      <c r="F8" s="18" t="s">
        <v>77</v>
      </c>
      <c r="G8" s="18" t="s">
        <v>77</v>
      </c>
      <c r="H8" s="18" t="s">
        <v>77</v>
      </c>
      <c r="I8" s="18" t="s">
        <v>77</v>
      </c>
    </row>
    <row r="9" spans="1:10" ht="28.8" x14ac:dyDescent="0.3">
      <c r="A9" s="21" t="s">
        <v>100</v>
      </c>
      <c r="B9" s="31" t="s">
        <v>23</v>
      </c>
      <c r="C9" s="18" t="s">
        <v>77</v>
      </c>
      <c r="D9" s="18" t="s">
        <v>77</v>
      </c>
      <c r="E9" s="18" t="s">
        <v>77</v>
      </c>
      <c r="F9" s="18" t="s">
        <v>77</v>
      </c>
      <c r="G9" s="18" t="s">
        <v>77</v>
      </c>
      <c r="H9" s="18" t="s">
        <v>77</v>
      </c>
      <c r="I9" s="18" t="s">
        <v>77</v>
      </c>
    </row>
    <row r="10" spans="1:10" ht="43.2" x14ac:dyDescent="0.3">
      <c r="A10" s="21" t="s">
        <v>101</v>
      </c>
      <c r="B10" s="31" t="s">
        <v>23</v>
      </c>
      <c r="C10" s="18">
        <v>8</v>
      </c>
      <c r="D10" s="18">
        <v>16</v>
      </c>
      <c r="E10" s="18">
        <v>0</v>
      </c>
      <c r="F10" s="18">
        <v>50</v>
      </c>
      <c r="G10" s="18">
        <v>50</v>
      </c>
      <c r="H10" s="18">
        <v>2</v>
      </c>
      <c r="I10" s="18">
        <v>1</v>
      </c>
    </row>
    <row r="11" spans="1:10" ht="43.2" x14ac:dyDescent="0.3">
      <c r="A11" s="21" t="s">
        <v>40</v>
      </c>
      <c r="B11" s="31" t="s">
        <v>81</v>
      </c>
      <c r="C11" s="18" t="s">
        <v>77</v>
      </c>
      <c r="D11" s="18" t="s">
        <v>77</v>
      </c>
      <c r="E11" s="18" t="s">
        <v>77</v>
      </c>
      <c r="F11" s="18" t="s">
        <v>77</v>
      </c>
      <c r="G11" s="18" t="s">
        <v>77</v>
      </c>
      <c r="H11" s="18" t="s">
        <v>77</v>
      </c>
      <c r="I11" s="18" t="s">
        <v>77</v>
      </c>
    </row>
    <row r="12" spans="1:10" ht="28.8" x14ac:dyDescent="0.3">
      <c r="A12" s="21" t="s">
        <v>41</v>
      </c>
      <c r="B12" s="31" t="s">
        <v>23</v>
      </c>
      <c r="C12" s="18">
        <v>40</v>
      </c>
      <c r="D12" s="18">
        <v>48</v>
      </c>
      <c r="E12" s="18">
        <v>0</v>
      </c>
      <c r="F12" s="18">
        <v>0</v>
      </c>
      <c r="G12" s="18">
        <v>200</v>
      </c>
      <c r="H12" s="18">
        <v>1</v>
      </c>
      <c r="I12" s="18">
        <v>4</v>
      </c>
      <c r="J12" t="s">
        <v>79</v>
      </c>
    </row>
    <row r="13" spans="1:10" ht="28.8" x14ac:dyDescent="0.3">
      <c r="A13" s="21" t="s">
        <v>41</v>
      </c>
      <c r="B13" s="31" t="s">
        <v>23</v>
      </c>
      <c r="C13" s="18">
        <v>8</v>
      </c>
      <c r="D13" s="18">
        <v>8</v>
      </c>
      <c r="E13" s="18">
        <v>0</v>
      </c>
      <c r="F13" s="18">
        <v>0</v>
      </c>
      <c r="G13" s="18">
        <v>100</v>
      </c>
      <c r="H13" s="18">
        <v>2</v>
      </c>
      <c r="I13" s="18">
        <v>1</v>
      </c>
      <c r="J13" t="s">
        <v>78</v>
      </c>
    </row>
    <row r="14" spans="1:10" ht="28.8" x14ac:dyDescent="0.3">
      <c r="A14" s="21" t="s">
        <v>102</v>
      </c>
      <c r="B14" s="31" t="s">
        <v>23</v>
      </c>
      <c r="C14" s="18">
        <v>9</v>
      </c>
      <c r="D14" s="18">
        <v>11</v>
      </c>
      <c r="E14" s="18">
        <v>0</v>
      </c>
      <c r="F14" s="18">
        <v>0</v>
      </c>
      <c r="G14" s="18">
        <v>0</v>
      </c>
      <c r="H14" s="18">
        <v>2</v>
      </c>
      <c r="I14" s="18">
        <v>0</v>
      </c>
    </row>
    <row r="15" spans="1:10" ht="28.8" x14ac:dyDescent="0.3">
      <c r="A15" s="21" t="s">
        <v>103</v>
      </c>
      <c r="B15" s="31" t="s">
        <v>23</v>
      </c>
      <c r="C15" s="18" t="s">
        <v>77</v>
      </c>
      <c r="D15" s="18" t="s">
        <v>77</v>
      </c>
      <c r="E15" s="18" t="s">
        <v>77</v>
      </c>
      <c r="F15" s="18" t="s">
        <v>77</v>
      </c>
      <c r="G15" s="18" t="s">
        <v>77</v>
      </c>
      <c r="H15" s="18" t="s">
        <v>77</v>
      </c>
      <c r="I15" s="18" t="s">
        <v>77</v>
      </c>
    </row>
    <row r="16" spans="1:10" ht="28.8" x14ac:dyDescent="0.3">
      <c r="A16" s="21" t="s">
        <v>104</v>
      </c>
      <c r="B16" s="31" t="s">
        <v>23</v>
      </c>
      <c r="C16" s="18">
        <v>116</v>
      </c>
      <c r="D16" s="18">
        <v>248</v>
      </c>
      <c r="E16" s="18">
        <v>450</v>
      </c>
      <c r="F16" s="18">
        <v>0</v>
      </c>
      <c r="G16" s="18">
        <v>0</v>
      </c>
      <c r="H16" s="18">
        <v>2</v>
      </c>
      <c r="I16" s="18">
        <v>9</v>
      </c>
    </row>
    <row r="17" spans="1:10" ht="28.8" x14ac:dyDescent="0.3">
      <c r="A17" s="21" t="s">
        <v>105</v>
      </c>
      <c r="B17" s="31" t="s">
        <v>23</v>
      </c>
      <c r="C17" s="18" t="s">
        <v>77</v>
      </c>
      <c r="D17" s="18" t="s">
        <v>77</v>
      </c>
      <c r="E17" s="18" t="s">
        <v>77</v>
      </c>
      <c r="F17" s="18" t="s">
        <v>77</v>
      </c>
      <c r="G17" s="18" t="s">
        <v>77</v>
      </c>
      <c r="H17" s="18" t="s">
        <v>77</v>
      </c>
      <c r="I17" s="18" t="s">
        <v>77</v>
      </c>
      <c r="J17" s="32" t="s">
        <v>82</v>
      </c>
    </row>
    <row r="18" spans="1:10" ht="28.8" x14ac:dyDescent="0.3">
      <c r="A18" s="21" t="s">
        <v>105</v>
      </c>
      <c r="B18" s="31" t="s">
        <v>23</v>
      </c>
      <c r="C18" s="18" t="s">
        <v>77</v>
      </c>
      <c r="D18" s="18" t="s">
        <v>77</v>
      </c>
      <c r="E18" s="18" t="s">
        <v>77</v>
      </c>
      <c r="F18" s="18" t="s">
        <v>77</v>
      </c>
      <c r="G18" s="18" t="s">
        <v>77</v>
      </c>
      <c r="H18" s="18" t="s">
        <v>77</v>
      </c>
      <c r="I18" s="18" t="s">
        <v>77</v>
      </c>
      <c r="J18" s="32" t="s">
        <v>83</v>
      </c>
    </row>
    <row r="19" spans="1:10" ht="28.8" x14ac:dyDescent="0.3">
      <c r="A19" s="21" t="s">
        <v>105</v>
      </c>
      <c r="B19" s="31" t="s">
        <v>23</v>
      </c>
      <c r="C19" s="18">
        <v>24</v>
      </c>
      <c r="D19" s="18">
        <v>48</v>
      </c>
      <c r="E19" s="18">
        <v>0</v>
      </c>
      <c r="F19" s="18">
        <v>0</v>
      </c>
      <c r="G19" s="18">
        <v>0</v>
      </c>
      <c r="H19" s="18">
        <v>2</v>
      </c>
      <c r="I19" s="18">
        <v>0</v>
      </c>
      <c r="J19" s="32" t="s">
        <v>84</v>
      </c>
    </row>
    <row r="20" spans="1:10" ht="28.8" x14ac:dyDescent="0.3">
      <c r="A20" s="21" t="s">
        <v>105</v>
      </c>
      <c r="B20" s="31" t="s">
        <v>23</v>
      </c>
      <c r="C20" s="18">
        <v>24</v>
      </c>
      <c r="D20" s="18">
        <v>48</v>
      </c>
      <c r="E20" s="18">
        <v>0</v>
      </c>
      <c r="F20" s="18">
        <v>0</v>
      </c>
      <c r="G20" s="18">
        <v>0</v>
      </c>
      <c r="H20" s="18">
        <v>2</v>
      </c>
      <c r="I20" s="18">
        <v>0</v>
      </c>
      <c r="J20" s="32" t="s">
        <v>85</v>
      </c>
    </row>
    <row r="21" spans="1:10" ht="28.8" x14ac:dyDescent="0.3">
      <c r="A21" s="21" t="s">
        <v>105</v>
      </c>
      <c r="B21" s="31" t="s">
        <v>23</v>
      </c>
      <c r="C21" s="18" t="s">
        <v>77</v>
      </c>
      <c r="D21" s="18" t="s">
        <v>77</v>
      </c>
      <c r="E21" s="18" t="s">
        <v>77</v>
      </c>
      <c r="F21" s="18" t="s">
        <v>77</v>
      </c>
      <c r="G21" s="18" t="s">
        <v>77</v>
      </c>
      <c r="H21" s="18" t="s">
        <v>77</v>
      </c>
      <c r="I21" s="18" t="s">
        <v>77</v>
      </c>
      <c r="J21" s="32" t="s">
        <v>86</v>
      </c>
    </row>
    <row r="22" spans="1:10" ht="28.8" x14ac:dyDescent="0.3">
      <c r="A22" s="21" t="s">
        <v>105</v>
      </c>
      <c r="B22" s="31" t="s">
        <v>23</v>
      </c>
      <c r="C22" s="18">
        <v>12</v>
      </c>
      <c r="D22" s="18">
        <v>12</v>
      </c>
      <c r="E22" s="18">
        <v>0</v>
      </c>
      <c r="F22" s="18">
        <v>0</v>
      </c>
      <c r="G22" s="18">
        <v>0</v>
      </c>
      <c r="H22" s="18">
        <v>2</v>
      </c>
      <c r="I22" s="18">
        <v>0</v>
      </c>
      <c r="J22" s="32" t="s">
        <v>87</v>
      </c>
    </row>
    <row r="23" spans="1:10" ht="28.8" x14ac:dyDescent="0.3">
      <c r="A23" s="21" t="s">
        <v>105</v>
      </c>
      <c r="B23" s="31" t="s">
        <v>23</v>
      </c>
      <c r="C23" s="18" t="s">
        <v>77</v>
      </c>
      <c r="D23" s="18" t="s">
        <v>77</v>
      </c>
      <c r="E23" s="18" t="s">
        <v>77</v>
      </c>
      <c r="F23" s="18" t="s">
        <v>77</v>
      </c>
      <c r="G23" s="18" t="s">
        <v>77</v>
      </c>
      <c r="H23" s="18" t="s">
        <v>77</v>
      </c>
      <c r="I23" s="18" t="s">
        <v>77</v>
      </c>
      <c r="J23" s="32" t="s">
        <v>88</v>
      </c>
    </row>
    <row r="24" spans="1:10" ht="28.8" x14ac:dyDescent="0.3">
      <c r="A24" s="21" t="s">
        <v>105</v>
      </c>
      <c r="B24" s="31" t="s">
        <v>23</v>
      </c>
      <c r="C24" s="18" t="s">
        <v>77</v>
      </c>
      <c r="D24" s="18" t="s">
        <v>77</v>
      </c>
      <c r="E24" s="18" t="s">
        <v>77</v>
      </c>
      <c r="F24" s="18" t="s">
        <v>77</v>
      </c>
      <c r="G24" s="18" t="s">
        <v>77</v>
      </c>
      <c r="H24" s="18" t="s">
        <v>77</v>
      </c>
      <c r="I24" s="18" t="s">
        <v>77</v>
      </c>
      <c r="J24" s="32" t="s">
        <v>89</v>
      </c>
    </row>
    <row r="25" spans="1:10" ht="28.8" x14ac:dyDescent="0.3">
      <c r="A25" s="21" t="s">
        <v>105</v>
      </c>
      <c r="B25" s="31" t="s">
        <v>23</v>
      </c>
      <c r="C25" s="18">
        <v>12</v>
      </c>
      <c r="D25" s="18">
        <v>12</v>
      </c>
      <c r="E25" s="18">
        <v>0</v>
      </c>
      <c r="F25" s="18">
        <v>0</v>
      </c>
      <c r="G25" s="18">
        <v>0</v>
      </c>
      <c r="H25" s="18">
        <v>2</v>
      </c>
      <c r="I25" s="18">
        <v>0</v>
      </c>
      <c r="J25" s="32" t="s">
        <v>90</v>
      </c>
    </row>
    <row r="26" spans="1:10" ht="28.8" x14ac:dyDescent="0.3">
      <c r="A26" s="21" t="s">
        <v>105</v>
      </c>
      <c r="B26" s="31" t="s">
        <v>23</v>
      </c>
      <c r="C26" s="18">
        <v>16</v>
      </c>
      <c r="D26" s="18">
        <v>32</v>
      </c>
      <c r="E26" s="18">
        <v>0</v>
      </c>
      <c r="F26" s="18">
        <v>0</v>
      </c>
      <c r="G26" s="18">
        <v>0</v>
      </c>
      <c r="H26" s="18">
        <v>2</v>
      </c>
      <c r="I26" s="18">
        <v>0</v>
      </c>
      <c r="J26" s="32" t="s">
        <v>94</v>
      </c>
    </row>
    <row r="27" spans="1:10" ht="28.8" x14ac:dyDescent="0.3">
      <c r="A27" s="21" t="s">
        <v>105</v>
      </c>
      <c r="B27" s="31" t="s">
        <v>23</v>
      </c>
      <c r="C27" s="18">
        <v>48</v>
      </c>
      <c r="D27" s="18">
        <v>50</v>
      </c>
      <c r="E27" s="18">
        <v>0</v>
      </c>
      <c r="F27" s="18">
        <v>0</v>
      </c>
      <c r="G27" s="18">
        <v>50</v>
      </c>
      <c r="H27" s="18">
        <v>2</v>
      </c>
      <c r="I27" s="18">
        <v>6</v>
      </c>
      <c r="J27" s="32" t="s">
        <v>91</v>
      </c>
    </row>
    <row r="28" spans="1:10" ht="28.8" x14ac:dyDescent="0.3">
      <c r="A28" s="21" t="s">
        <v>105</v>
      </c>
      <c r="B28" s="31" t="s">
        <v>23</v>
      </c>
      <c r="C28" s="18" t="s">
        <v>77</v>
      </c>
      <c r="D28" s="18" t="s">
        <v>77</v>
      </c>
      <c r="E28" s="18" t="s">
        <v>77</v>
      </c>
      <c r="F28" s="18" t="s">
        <v>77</v>
      </c>
      <c r="G28" s="18" t="s">
        <v>77</v>
      </c>
      <c r="H28" s="18" t="s">
        <v>77</v>
      </c>
      <c r="I28" s="18" t="s">
        <v>77</v>
      </c>
      <c r="J28" s="32" t="s">
        <v>92</v>
      </c>
    </row>
    <row r="29" spans="1:10" x14ac:dyDescent="0.3">
      <c r="A29" s="21" t="s">
        <v>106</v>
      </c>
      <c r="B29" s="31" t="s">
        <v>23</v>
      </c>
      <c r="C29" s="18">
        <v>133</v>
      </c>
      <c r="D29" s="18">
        <v>359</v>
      </c>
      <c r="E29" s="18">
        <v>1100</v>
      </c>
      <c r="F29" s="18">
        <v>0</v>
      </c>
      <c r="G29" s="18">
        <v>1150</v>
      </c>
      <c r="H29" s="18">
        <v>2</v>
      </c>
      <c r="I29" s="18">
        <v>23</v>
      </c>
    </row>
    <row r="30" spans="1:10" x14ac:dyDescent="0.3">
      <c r="A30" s="21" t="s">
        <v>107</v>
      </c>
      <c r="B30" s="31" t="s">
        <v>23</v>
      </c>
      <c r="C30" s="18">
        <v>60</v>
      </c>
      <c r="D30" s="18">
        <v>188</v>
      </c>
      <c r="E30" s="18">
        <v>7500</v>
      </c>
      <c r="F30" s="18">
        <v>0</v>
      </c>
      <c r="G30" s="18">
        <v>700</v>
      </c>
      <c r="H30" s="18">
        <v>2</v>
      </c>
      <c r="I30" s="18">
        <v>14</v>
      </c>
    </row>
    <row r="31" spans="1:10" x14ac:dyDescent="0.3">
      <c r="A31" s="21" t="s">
        <v>108</v>
      </c>
      <c r="B31" s="31" t="s">
        <v>23</v>
      </c>
      <c r="C31" s="18">
        <v>130</v>
      </c>
      <c r="D31" s="18">
        <v>336</v>
      </c>
      <c r="E31" s="18">
        <v>5050</v>
      </c>
      <c r="F31" s="18">
        <v>450</v>
      </c>
      <c r="G31" s="18">
        <v>1000</v>
      </c>
      <c r="H31" s="18">
        <v>2</v>
      </c>
      <c r="I31" s="18">
        <v>13</v>
      </c>
    </row>
    <row r="32" spans="1:10" x14ac:dyDescent="0.3">
      <c r="A32" s="21" t="s">
        <v>109</v>
      </c>
      <c r="B32" s="31" t="s">
        <v>23</v>
      </c>
      <c r="C32" s="18">
        <v>91</v>
      </c>
      <c r="D32" s="18">
        <v>241</v>
      </c>
      <c r="E32" s="18">
        <v>6750</v>
      </c>
      <c r="F32" s="18">
        <v>0</v>
      </c>
      <c r="G32" s="18">
        <v>1050</v>
      </c>
      <c r="H32" s="18">
        <v>2</v>
      </c>
      <c r="I32" s="18">
        <v>18</v>
      </c>
    </row>
    <row r="33" spans="1:10" x14ac:dyDescent="0.3">
      <c r="A33" s="21" t="s">
        <v>110</v>
      </c>
      <c r="B33" s="31" t="s">
        <v>23</v>
      </c>
      <c r="C33" s="18" t="s">
        <v>77</v>
      </c>
      <c r="D33" s="18" t="s">
        <v>77</v>
      </c>
      <c r="E33" s="18" t="s">
        <v>77</v>
      </c>
      <c r="F33" s="18" t="s">
        <v>77</v>
      </c>
      <c r="G33" s="18" t="s">
        <v>77</v>
      </c>
      <c r="H33" s="18" t="s">
        <v>77</v>
      </c>
      <c r="I33" s="18" t="s">
        <v>77</v>
      </c>
    </row>
    <row r="34" spans="1:10" ht="72" x14ac:dyDescent="0.3">
      <c r="A34" s="21" t="s">
        <v>95</v>
      </c>
      <c r="B34" s="31" t="s">
        <v>23</v>
      </c>
      <c r="C34" s="18" t="s">
        <v>77</v>
      </c>
      <c r="D34" s="18" t="s">
        <v>77</v>
      </c>
      <c r="E34" s="18" t="s">
        <v>77</v>
      </c>
      <c r="F34" s="18" t="s">
        <v>77</v>
      </c>
      <c r="G34" s="18" t="s">
        <v>77</v>
      </c>
      <c r="H34" s="18" t="s">
        <v>77</v>
      </c>
      <c r="I34" s="18" t="s">
        <v>77</v>
      </c>
    </row>
    <row r="35" spans="1:10" ht="43.2" x14ac:dyDescent="0.3">
      <c r="A35" s="21" t="s">
        <v>48</v>
      </c>
      <c r="B35" s="31" t="s">
        <v>23</v>
      </c>
      <c r="C35" s="18" t="s">
        <v>77</v>
      </c>
      <c r="D35" s="18" t="s">
        <v>77</v>
      </c>
      <c r="E35" s="18" t="s">
        <v>77</v>
      </c>
      <c r="F35" s="18" t="s">
        <v>77</v>
      </c>
      <c r="G35" s="18" t="s">
        <v>77</v>
      </c>
      <c r="H35" s="18" t="s">
        <v>77</v>
      </c>
      <c r="I35" s="18" t="s">
        <v>77</v>
      </c>
    </row>
    <row r="36" spans="1:10" ht="28.8" x14ac:dyDescent="0.3">
      <c r="A36" s="21" t="s">
        <v>111</v>
      </c>
      <c r="B36" s="31" t="s">
        <v>23</v>
      </c>
      <c r="C36" s="18">
        <v>46</v>
      </c>
      <c r="D36" s="18">
        <v>92</v>
      </c>
      <c r="E36" s="18">
        <v>300</v>
      </c>
      <c r="F36" s="18">
        <v>2253</v>
      </c>
      <c r="G36" s="18">
        <v>650</v>
      </c>
      <c r="H36" s="18">
        <v>2</v>
      </c>
      <c r="I36" s="18">
        <v>9</v>
      </c>
      <c r="J36" t="s">
        <v>73</v>
      </c>
    </row>
    <row r="37" spans="1:10" ht="28.8" x14ac:dyDescent="0.3">
      <c r="A37" s="21" t="s">
        <v>112</v>
      </c>
      <c r="B37" s="31" t="s">
        <v>23</v>
      </c>
      <c r="C37" s="18">
        <v>46</v>
      </c>
      <c r="D37" s="18">
        <v>92</v>
      </c>
      <c r="E37" s="18">
        <v>300</v>
      </c>
      <c r="F37" s="18">
        <v>2253</v>
      </c>
      <c r="G37" s="18">
        <v>650</v>
      </c>
      <c r="H37" s="18">
        <v>2</v>
      </c>
      <c r="I37" s="18">
        <v>9</v>
      </c>
      <c r="J37" t="s">
        <v>73</v>
      </c>
    </row>
    <row r="38" spans="1:10" ht="28.8" x14ac:dyDescent="0.3">
      <c r="A38" s="21" t="s">
        <v>113</v>
      </c>
      <c r="B38" s="31" t="s">
        <v>23</v>
      </c>
      <c r="C38" s="18">
        <v>46</v>
      </c>
      <c r="D38" s="18">
        <v>92</v>
      </c>
      <c r="E38" s="18">
        <v>300</v>
      </c>
      <c r="F38" s="18">
        <v>2253</v>
      </c>
      <c r="G38" s="18">
        <v>650</v>
      </c>
      <c r="H38" s="18">
        <v>2</v>
      </c>
      <c r="I38" s="18">
        <v>9</v>
      </c>
      <c r="J38" t="s">
        <v>73</v>
      </c>
    </row>
    <row r="39" spans="1:10" ht="28.8" x14ac:dyDescent="0.3">
      <c r="A39" s="21" t="s">
        <v>114</v>
      </c>
      <c r="B39" s="31" t="s">
        <v>23</v>
      </c>
      <c r="C39" s="18">
        <v>46</v>
      </c>
      <c r="D39" s="18">
        <v>92</v>
      </c>
      <c r="E39" s="18">
        <v>300</v>
      </c>
      <c r="F39" s="18">
        <v>2253</v>
      </c>
      <c r="G39" s="18">
        <v>650</v>
      </c>
      <c r="H39" s="18">
        <v>2</v>
      </c>
      <c r="I39" s="18">
        <v>9</v>
      </c>
      <c r="J39" t="s">
        <v>73</v>
      </c>
    </row>
    <row r="40" spans="1:10" ht="28.8" x14ac:dyDescent="0.3">
      <c r="A40" s="21" t="s">
        <v>115</v>
      </c>
      <c r="B40" s="31" t="s">
        <v>23</v>
      </c>
      <c r="C40" s="18">
        <v>46</v>
      </c>
      <c r="D40" s="18">
        <v>92</v>
      </c>
      <c r="E40" s="18">
        <v>300</v>
      </c>
      <c r="F40" s="18">
        <v>2253</v>
      </c>
      <c r="G40" s="18">
        <v>650</v>
      </c>
      <c r="H40" s="18">
        <v>2</v>
      </c>
      <c r="I40" s="18">
        <v>9</v>
      </c>
      <c r="J40" t="s">
        <v>73</v>
      </c>
    </row>
    <row r="41" spans="1:10" ht="28.8" x14ac:dyDescent="0.3">
      <c r="A41" s="21" t="s">
        <v>116</v>
      </c>
      <c r="B41" s="31" t="s">
        <v>23</v>
      </c>
      <c r="C41" s="18">
        <v>12</v>
      </c>
      <c r="D41" s="18">
        <v>20</v>
      </c>
      <c r="E41" s="18">
        <v>0</v>
      </c>
      <c r="F41" s="18">
        <v>1400</v>
      </c>
      <c r="G41" s="18">
        <v>200</v>
      </c>
      <c r="H41" s="18">
        <v>2</v>
      </c>
      <c r="I41" s="18">
        <v>3</v>
      </c>
      <c r="J41" t="s">
        <v>74</v>
      </c>
    </row>
    <row r="42" spans="1:10" ht="43.2" x14ac:dyDescent="0.3">
      <c r="A42" s="21" t="s">
        <v>117</v>
      </c>
      <c r="B42" s="31" t="s">
        <v>23</v>
      </c>
      <c r="C42" s="18">
        <v>46</v>
      </c>
      <c r="D42" s="18">
        <v>92</v>
      </c>
      <c r="E42" s="18">
        <v>300</v>
      </c>
      <c r="F42" s="18">
        <v>2253</v>
      </c>
      <c r="G42" s="18">
        <v>650</v>
      </c>
      <c r="H42" s="18">
        <v>2</v>
      </c>
      <c r="I42" s="18">
        <v>9</v>
      </c>
      <c r="J42" t="s">
        <v>73</v>
      </c>
    </row>
    <row r="43" spans="1:10" ht="28.8" x14ac:dyDescent="0.3">
      <c r="A43" s="21" t="s">
        <v>118</v>
      </c>
      <c r="B43" s="31" t="s">
        <v>23</v>
      </c>
      <c r="C43" s="18">
        <v>34</v>
      </c>
      <c r="D43" s="18">
        <v>68</v>
      </c>
      <c r="E43" s="18">
        <v>50</v>
      </c>
      <c r="F43" s="18">
        <v>600</v>
      </c>
      <c r="G43" s="18">
        <v>250</v>
      </c>
      <c r="H43" s="18">
        <v>2</v>
      </c>
      <c r="I43" s="18">
        <v>5</v>
      </c>
      <c r="J43" t="s">
        <v>75</v>
      </c>
    </row>
    <row r="44" spans="1:10" ht="28.8" x14ac:dyDescent="0.3">
      <c r="A44" s="21" t="s">
        <v>119</v>
      </c>
      <c r="B44" s="31" t="s">
        <v>23</v>
      </c>
      <c r="C44" s="18">
        <v>46</v>
      </c>
      <c r="D44" s="18">
        <v>148</v>
      </c>
      <c r="E44" s="18">
        <v>200</v>
      </c>
      <c r="F44" s="18">
        <v>1100</v>
      </c>
      <c r="G44" s="18">
        <v>800</v>
      </c>
      <c r="H44" s="18">
        <v>2</v>
      </c>
      <c r="I44" s="18">
        <v>16</v>
      </c>
      <c r="J44" t="s">
        <v>75</v>
      </c>
    </row>
    <row r="45" spans="1:10" ht="28.8" x14ac:dyDescent="0.3">
      <c r="A45" s="21" t="s">
        <v>120</v>
      </c>
      <c r="B45" s="31" t="s">
        <v>23</v>
      </c>
      <c r="C45" s="18">
        <v>8</v>
      </c>
      <c r="D45" s="18">
        <v>16</v>
      </c>
      <c r="E45" s="18">
        <v>0</v>
      </c>
      <c r="F45" s="18">
        <v>400</v>
      </c>
      <c r="G45" s="18">
        <v>150</v>
      </c>
      <c r="H45" s="18">
        <v>2</v>
      </c>
      <c r="I45" s="18">
        <v>2</v>
      </c>
      <c r="J45" t="s">
        <v>75</v>
      </c>
    </row>
    <row r="46" spans="1:10" ht="28.8" x14ac:dyDescent="0.3">
      <c r="A46" s="21" t="s">
        <v>121</v>
      </c>
      <c r="B46" s="31" t="s">
        <v>23</v>
      </c>
      <c r="C46" s="18">
        <v>68</v>
      </c>
      <c r="D46" s="18">
        <v>136</v>
      </c>
      <c r="E46" s="18">
        <v>400</v>
      </c>
      <c r="F46" s="18">
        <v>700</v>
      </c>
      <c r="G46" s="18">
        <v>500</v>
      </c>
      <c r="H46" s="18">
        <v>2</v>
      </c>
      <c r="I46" s="18">
        <v>10</v>
      </c>
      <c r="J46" t="s">
        <v>75</v>
      </c>
    </row>
    <row r="47" spans="1:10" ht="28.8" x14ac:dyDescent="0.3">
      <c r="A47" s="21" t="s">
        <v>122</v>
      </c>
      <c r="B47" s="31" t="s">
        <v>23</v>
      </c>
      <c r="C47" s="18">
        <v>8</v>
      </c>
      <c r="D47" s="18">
        <v>16</v>
      </c>
      <c r="E47" s="18">
        <v>0</v>
      </c>
      <c r="F47" s="18">
        <v>400</v>
      </c>
      <c r="G47" s="18">
        <v>150</v>
      </c>
      <c r="H47" s="18">
        <v>2</v>
      </c>
      <c r="I47" s="18">
        <v>2</v>
      </c>
      <c r="J47" t="s">
        <v>76</v>
      </c>
    </row>
    <row r="48" spans="1:10" ht="43.8" thickBot="1" x14ac:dyDescent="0.35">
      <c r="A48" s="25" t="s">
        <v>123</v>
      </c>
      <c r="B48" s="31" t="s">
        <v>23</v>
      </c>
      <c r="C48" s="18">
        <v>40</v>
      </c>
      <c r="D48" s="18">
        <v>80</v>
      </c>
      <c r="E48" s="18">
        <v>450</v>
      </c>
      <c r="F48" s="18">
        <v>1600</v>
      </c>
      <c r="G48" s="18">
        <v>750</v>
      </c>
      <c r="H48" s="18">
        <v>2</v>
      </c>
      <c r="I48" s="18">
        <v>15</v>
      </c>
      <c r="J4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50945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Общий свод</vt:lpstr>
      <vt:lpstr>Потребитель</vt:lpstr>
      <vt:lpstr>Платформа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Константин Федосов</dc:creator>
  <dc:description/>
  <cp:lastModifiedBy>peshk</cp:lastModifiedBy>
  <cp:revision>13</cp:revision>
  <dcterms:created xsi:type="dcterms:W3CDTF">2024-02-21T10:26:38Z</dcterms:created>
  <dcterms:modified xsi:type="dcterms:W3CDTF">2026-01-13T10:01:02Z</dcterms:modified>
  <dc:language>ru-RU</dc:language>
</cp:coreProperties>
</file>